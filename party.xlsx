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Signup Page" sheetId="2" r:id="rId6"/>
    <sheet state="visible" name="Final List" sheetId="3" r:id="rId7"/>
  </sheets>
  <definedNames/>
  <calcPr/>
</workbook>
</file>

<file path=xl/sharedStrings.xml><?xml version="1.0" encoding="utf-8"?>
<sst xmlns="http://schemas.openxmlformats.org/spreadsheetml/2006/main" count="367" uniqueCount="364">
  <si>
    <t>HOW TO USE THIS SIGNUP</t>
  </si>
  <si>
    <t>Section 1</t>
  </si>
  <si>
    <t>Signup Info</t>
  </si>
  <si>
    <t>According to Sigma Chi International Policy, we cannot have a ratio of Guests to Brothers exceeding 3:1</t>
  </si>
  <si>
    <t>The White House can have no more than 250 occupants at any given time</t>
  </si>
  <si>
    <r>
      <rPr>
        <rFont val="Arial"/>
        <color theme="1"/>
      </rPr>
      <t xml:space="preserve">The list will be </t>
    </r>
    <r>
      <rPr>
        <rFont val="Arial"/>
        <b/>
        <color theme="1"/>
      </rPr>
      <t>closed to all changes</t>
    </r>
    <r>
      <rPr>
        <rFont val="Arial"/>
        <color theme="1"/>
      </rPr>
      <t xml:space="preserve"> 12 hours before the scheduled start of the event</t>
    </r>
  </si>
  <si>
    <t>To swap a guest with a different person, you must notify the doorman in person at the event</t>
  </si>
  <si>
    <t>You must use your guests' full names on the signup sheet or they will be removed</t>
  </si>
  <si>
    <r>
      <rPr>
        <rFont val="Arial"/>
        <color theme="1"/>
      </rPr>
      <t xml:space="preserve">Place your bid number in Parentheses after </t>
    </r>
    <r>
      <rPr>
        <rFont val="Arial"/>
        <b/>
        <color theme="1"/>
      </rPr>
      <t>Your Name</t>
    </r>
    <r>
      <rPr>
        <rFont val="Arial"/>
        <color theme="1"/>
      </rPr>
      <t xml:space="preserve"> and </t>
    </r>
    <r>
      <rPr>
        <rFont val="Arial"/>
        <b/>
        <color theme="1"/>
      </rPr>
      <t>Your Invites Names</t>
    </r>
  </si>
  <si>
    <t>Section 2</t>
  </si>
  <si>
    <t>Sharing Invites</t>
  </si>
  <si>
    <t>It must be clear to the Social Chair and Risk Manager who each guest is invited by</t>
  </si>
  <si>
    <t>If you use another brother's invite you must put your roll number in parentheses after their name as well</t>
  </si>
  <si>
    <r>
      <rPr>
        <rFont val="Arial"/>
        <color theme="1"/>
      </rPr>
      <t xml:space="preserve">You </t>
    </r>
    <r>
      <rPr>
        <rFont val="Arial"/>
        <b/>
        <color theme="1"/>
      </rPr>
      <t>Must ask</t>
    </r>
    <r>
      <rPr>
        <rFont val="Arial"/>
        <color theme="1"/>
      </rPr>
      <t xml:space="preserve"> brothers before using their unused invites (until 24 hours before the event)</t>
    </r>
  </si>
  <si>
    <t>24 hours before the event, all unused invites become fair game to brothers attending the event</t>
  </si>
  <si>
    <r>
      <rPr>
        <rFont val="Arial"/>
        <color theme="1"/>
      </rPr>
      <t>If B</t>
    </r>
    <r>
      <rPr>
        <rFont val="Arial"/>
        <b/>
        <color theme="1"/>
      </rPr>
      <t>rother A</t>
    </r>
    <r>
      <rPr>
        <rFont val="Arial"/>
        <color theme="1"/>
      </rPr>
      <t xml:space="preserve"> used all of his invites and asked to borrow one from </t>
    </r>
    <r>
      <rPr>
        <rFont val="Arial"/>
        <b/>
        <color theme="1"/>
      </rPr>
      <t>Brother B</t>
    </r>
    <r>
      <rPr>
        <rFont val="Arial"/>
        <color theme="1"/>
      </rPr>
      <t xml:space="preserve"> it would look like:</t>
    </r>
  </si>
  <si>
    <t>Brother</t>
  </si>
  <si>
    <t>Guest 1</t>
  </si>
  <si>
    <t>Guest 2</t>
  </si>
  <si>
    <t>Guest 3</t>
  </si>
  <si>
    <t>Sam Walker (146)</t>
  </si>
  <si>
    <t>Santa Claus (146)</t>
  </si>
  <si>
    <t>Joe Mama (146)</t>
  </si>
  <si>
    <t>Michael Jordan (146)</t>
  </si>
  <si>
    <t>Dylan Paone (139)</t>
  </si>
  <si>
    <t>Donald Trump (139)</t>
  </si>
  <si>
    <t>Melania Trump (139)</t>
  </si>
  <si>
    <r>
      <rPr>
        <rFont val="Arial"/>
        <color theme="1"/>
      </rPr>
      <t xml:space="preserve">Beyonce </t>
    </r>
    <r>
      <rPr>
        <rFont val="Arial"/>
        <b/>
        <color rgb="FFFF0000"/>
      </rPr>
      <t>(146)</t>
    </r>
  </si>
  <si>
    <t>Section 3</t>
  </si>
  <si>
    <t>Organization Invites</t>
  </si>
  <si>
    <t>Whole organizations are often invited, and in that case specific members do not need to be invited individually</t>
  </si>
  <si>
    <t>Brother Name (#)</t>
  </si>
  <si>
    <t>Volunteer Sober?</t>
  </si>
  <si>
    <t>Volunteer Clean Up?</t>
  </si>
  <si>
    <t>Name</t>
  </si>
  <si>
    <t>Invites Sent:</t>
  </si>
  <si>
    <t>Jose Ignacio (248)</t>
  </si>
  <si>
    <t>Elena Lesniak (248)</t>
  </si>
  <si>
    <t>Attending:</t>
  </si>
  <si>
    <t>Ryder (238)</t>
  </si>
  <si>
    <t>Jordan Cooksey (238)</t>
  </si>
  <si>
    <t>When:</t>
  </si>
  <si>
    <t>ZTA (1)</t>
  </si>
  <si>
    <t>AxiD (2)</t>
  </si>
  <si>
    <t>ASA (3)</t>
  </si>
  <si>
    <t>DphiE (4)</t>
  </si>
  <si>
    <t>TriSig (5)</t>
  </si>
  <si>
    <t>Gamma Phi (12)</t>
  </si>
  <si>
    <t>Alpha Phi (13)</t>
  </si>
  <si>
    <t>Phi Sig (6)</t>
  </si>
  <si>
    <t>Phi Delt (7)</t>
  </si>
  <si>
    <t>KDR (8)</t>
  </si>
  <si>
    <t>Phi Psi (9)</t>
  </si>
  <si>
    <t>Theta Chi (10)</t>
  </si>
  <si>
    <t>Pi Kapp (11)</t>
  </si>
  <si>
    <t>Sammy (14)</t>
  </si>
  <si>
    <t>Lambdas (15)</t>
  </si>
  <si>
    <t>AKDPHI (16)</t>
  </si>
  <si>
    <t>Bogdan (224)</t>
  </si>
  <si>
    <t>Riley Jo (239)</t>
  </si>
  <si>
    <t>rylee maher</t>
  </si>
  <si>
    <t>Josalyn Massett</t>
  </si>
  <si>
    <t>Caroline Clayton</t>
  </si>
  <si>
    <t>gabi benayoun</t>
  </si>
  <si>
    <t>Patrick clear</t>
  </si>
  <si>
    <t>Luke Moskov</t>
  </si>
  <si>
    <t>Josh Merrill</t>
  </si>
  <si>
    <t>Adam Moughrabi</t>
  </si>
  <si>
    <t>Jace Antonacci</t>
  </si>
  <si>
    <t>Jackson Holmes</t>
  </si>
  <si>
    <t>Noah Baumgaertel</t>
  </si>
  <si>
    <t>Ianetta (195)</t>
  </si>
  <si>
    <t>Taylor Matla (195)</t>
  </si>
  <si>
    <t>Where:</t>
  </si>
  <si>
    <t>Whitehouse</t>
  </si>
  <si>
    <t>corynn frysinger</t>
  </si>
  <si>
    <t>Nina Porter</t>
  </si>
  <si>
    <t>Tira Heiss</t>
  </si>
  <si>
    <t>aubrey troy</t>
  </si>
  <si>
    <t>Mitchell konstandt</t>
  </si>
  <si>
    <t>Henry tun</t>
  </si>
  <si>
    <t>Henry Babowal</t>
  </si>
  <si>
    <t>Aiden Ryan</t>
  </si>
  <si>
    <t>Anthony Paini</t>
  </si>
  <si>
    <t>Mikey Reizenstein</t>
  </si>
  <si>
    <t>Hayden Baugh</t>
  </si>
  <si>
    <t>Yates (263)</t>
  </si>
  <si>
    <t>Sydney Wildermuth (263)</t>
  </si>
  <si>
    <t>ash pennington</t>
  </si>
  <si>
    <t>Kylee Kublin</t>
  </si>
  <si>
    <t>Savannah Brown</t>
  </si>
  <si>
    <t>kate young</t>
  </si>
  <si>
    <t>Leo danziger</t>
  </si>
  <si>
    <t>James Masler</t>
  </si>
  <si>
    <t>Steve Medeiros</t>
  </si>
  <si>
    <t>Alec Haag</t>
  </si>
  <si>
    <t>Ethan Scalione</t>
  </si>
  <si>
    <t>Samuel Aronoff</t>
  </si>
  <si>
    <t>Erik Callejas</t>
  </si>
  <si>
    <t>Z (227)</t>
  </si>
  <si>
    <t>Ethan Sinclair (227)</t>
  </si>
  <si>
    <t>Red = Taken, Pink = Complicated, White = Single</t>
  </si>
  <si>
    <t>jess jaimon</t>
  </si>
  <si>
    <t>Stella Bauschard</t>
  </si>
  <si>
    <t>Hannah DeFilipo</t>
  </si>
  <si>
    <t>anna nelson</t>
  </si>
  <si>
    <t>Christian escalante</t>
  </si>
  <si>
    <t>Lincoln brander</t>
  </si>
  <si>
    <t>Matthew Tarasenko</t>
  </si>
  <si>
    <t>Alessandro LealRomero</t>
  </si>
  <si>
    <t>Peter Daglis</t>
  </si>
  <si>
    <t>Gary Prybylski</t>
  </si>
  <si>
    <t>Liam Schaefer</t>
  </si>
  <si>
    <t>Conrad McGarry (234)</t>
  </si>
  <si>
    <t>Mason Welch (199)</t>
  </si>
  <si>
    <t>julia bognaski</t>
  </si>
  <si>
    <t>CeCe Petti</t>
  </si>
  <si>
    <t>Kelsey Luke</t>
  </si>
  <si>
    <t>julia sullivan</t>
  </si>
  <si>
    <t>Alex barber</t>
  </si>
  <si>
    <t>Dan Birley</t>
  </si>
  <si>
    <t>Yarin Tellez</t>
  </si>
  <si>
    <t>Ari Becker</t>
  </si>
  <si>
    <t>Elias Humphery</t>
  </si>
  <si>
    <t>Luciano</t>
  </si>
  <si>
    <t>Antonio Caldaroni</t>
  </si>
  <si>
    <t>Jacob P (228)</t>
  </si>
  <si>
    <t>Jizzy cook (228)</t>
  </si>
  <si>
    <t>List Closes:</t>
  </si>
  <si>
    <t>noelle thomas</t>
  </si>
  <si>
    <t>Eden Cotler</t>
  </si>
  <si>
    <t>Alex Pross</t>
  </si>
  <si>
    <t>maddie messa</t>
  </si>
  <si>
    <t>Jayden black</t>
  </si>
  <si>
    <t>Ritchie Williams</t>
  </si>
  <si>
    <t>Ben Walerstein</t>
  </si>
  <si>
    <t>Michael Thompson</t>
  </si>
  <si>
    <t>TJ Kindler</t>
  </si>
  <si>
    <t>Adam Woldan</t>
  </si>
  <si>
    <t>Crowley (226)</t>
  </si>
  <si>
    <t>Dylan Mattice(258)</t>
  </si>
  <si>
    <t>menda schroeder</t>
  </si>
  <si>
    <t>Reina Lachhman</t>
  </si>
  <si>
    <t>Niki Arcila</t>
  </si>
  <si>
    <t>gabbi ginaldi</t>
  </si>
  <si>
    <t>Jackson money</t>
  </si>
  <si>
    <t>Ian Scwab</t>
  </si>
  <si>
    <t>Brian Puglielli</t>
  </si>
  <si>
    <t>Josh Theta</t>
  </si>
  <si>
    <t>Soren Orcutt</t>
  </si>
  <si>
    <t>Nardi (236)</t>
  </si>
  <si>
    <t>Ryan Noyes (247)</t>
  </si>
  <si>
    <t>Yes</t>
  </si>
  <si>
    <t>lauren nichols</t>
  </si>
  <si>
    <t>Solia Griffin</t>
  </si>
  <si>
    <t>Raika Kamalaraj</t>
  </si>
  <si>
    <t>lia schmitt</t>
  </si>
  <si>
    <t>Jameson baker</t>
  </si>
  <si>
    <t>Ian Skinner</t>
  </si>
  <si>
    <t>Caleb Brady</t>
  </si>
  <si>
    <t>Aidan Cavanaugh</t>
  </si>
  <si>
    <t>Sheehan (239)</t>
  </si>
  <si>
    <t>Becca Vella (239)</t>
  </si>
  <si>
    <t>Total List Count:</t>
  </si>
  <si>
    <t>mia srivastava</t>
  </si>
  <si>
    <t>Juliana Foster</t>
  </si>
  <si>
    <t>Nagwa Fokunang</t>
  </si>
  <si>
    <t>anaanya poddar</t>
  </si>
  <si>
    <t>Patrick Guildner</t>
  </si>
  <si>
    <t>Gabe Rosenblum</t>
  </si>
  <si>
    <t>Callum Murphy</t>
  </si>
  <si>
    <t>Ozias Verminski</t>
  </si>
  <si>
    <t>Mallett (251)</t>
  </si>
  <si>
    <t>Sarah Shevrin (251)</t>
  </si>
  <si>
    <t>martina alvez</t>
  </si>
  <si>
    <t>Celeste Cook</t>
  </si>
  <si>
    <t>Sofia Bruce</t>
  </si>
  <si>
    <t>anika pappu</t>
  </si>
  <si>
    <t>Matiss Clouser</t>
  </si>
  <si>
    <t>Caden Lynch</t>
  </si>
  <si>
    <t>Cameron Croom</t>
  </si>
  <si>
    <t>Ethan Carver</t>
  </si>
  <si>
    <t>Will Harriman (245)</t>
  </si>
  <si>
    <t>Jon Bates (247)</t>
  </si>
  <si>
    <t>Total Greek Invites:</t>
  </si>
  <si>
    <t>ava bistrovich</t>
  </si>
  <si>
    <t>Ana</t>
  </si>
  <si>
    <t>Camille Richardson</t>
  </si>
  <si>
    <t>bella pioggia</t>
  </si>
  <si>
    <t>Dean Plennert</t>
  </si>
  <si>
    <t>Alex Kraljic</t>
  </si>
  <si>
    <t>Cole Cirillo</t>
  </si>
  <si>
    <t>Austin Kunkel</t>
  </si>
  <si>
    <t>Karras (242)</t>
  </si>
  <si>
    <t>Nick Farsaci (247)</t>
  </si>
  <si>
    <t>alexandra paul</t>
  </si>
  <si>
    <t>Graycie Gannon</t>
  </si>
  <si>
    <t>Marissa Abramson</t>
  </si>
  <si>
    <t>mak kirish</t>
  </si>
  <si>
    <t>Luca Ferrara</t>
  </si>
  <si>
    <t>Deacon Mansfield</t>
  </si>
  <si>
    <t>Joshua Abdallah</t>
  </si>
  <si>
    <t>Alvaro (198)</t>
  </si>
  <si>
    <t>Jack Sherlock (247)</t>
  </si>
  <si>
    <t>Sober Monitors Needed:</t>
  </si>
  <si>
    <t>noelle mp</t>
  </si>
  <si>
    <t>Mariah Emhof</t>
  </si>
  <si>
    <t>Ava Justo</t>
  </si>
  <si>
    <t>audrey martignetti</t>
  </si>
  <si>
    <t>Dominic Mumma</t>
  </si>
  <si>
    <t>Sam Tambacas</t>
  </si>
  <si>
    <t>Cam (246)</t>
  </si>
  <si>
    <t>Megi Karin (238)</t>
  </si>
  <si>
    <t>violette martin</t>
  </si>
  <si>
    <t>Caitlin Ciancanelli</t>
  </si>
  <si>
    <t>Patrice Delgado</t>
  </si>
  <si>
    <t>amelie wold</t>
  </si>
  <si>
    <t>Emiliano VegaGomez</t>
  </si>
  <si>
    <t>Ari Hollingsworth</t>
  </si>
  <si>
    <t>Crossan (233)</t>
  </si>
  <si>
    <t>Wil Kravetz(269)</t>
  </si>
  <si>
    <t>deanna fragiorgi</t>
  </si>
  <si>
    <t>Jasmin Aujla</t>
  </si>
  <si>
    <t>Olivia Rizzo</t>
  </si>
  <si>
    <t>ryn pease</t>
  </si>
  <si>
    <t>Evan Calkins</t>
  </si>
  <si>
    <t>David Lanuti</t>
  </si>
  <si>
    <t>Flannery (270)</t>
  </si>
  <si>
    <t>Kelly Da Silva (238)</t>
  </si>
  <si>
    <t>Blacklist</t>
  </si>
  <si>
    <t>miranda walter</t>
  </si>
  <si>
    <t>Tanvi Singh</t>
  </si>
  <si>
    <t>Layo Olawuyi</t>
  </si>
  <si>
    <t>maia thomas</t>
  </si>
  <si>
    <t>Gavin Bob</t>
  </si>
  <si>
    <t>Jason Bradbury</t>
  </si>
  <si>
    <t>Carter Dengler (258)</t>
  </si>
  <si>
    <t>Davis AngelliNichols (258)</t>
  </si>
  <si>
    <t>Noah King</t>
  </si>
  <si>
    <t>maddy broomfield</t>
  </si>
  <si>
    <t>Delaney</t>
  </si>
  <si>
    <t>Allie Smith</t>
  </si>
  <si>
    <t>paige bohman</t>
  </si>
  <si>
    <t>Gharvin Ramnarase</t>
  </si>
  <si>
    <t>Kaden Boyle</t>
  </si>
  <si>
    <t>Skyler Dengler (199)</t>
  </si>
  <si>
    <t>Chris Walsh (199)</t>
  </si>
  <si>
    <t xml:space="preserve">Abid </t>
  </si>
  <si>
    <t>molly long</t>
  </si>
  <si>
    <t>Sonia Cachon</t>
  </si>
  <si>
    <t>Kayla Cardoza</t>
  </si>
  <si>
    <t>hope hebert</t>
  </si>
  <si>
    <t>Jack Roberts</t>
  </si>
  <si>
    <t>Kyle Long</t>
  </si>
  <si>
    <t>Casey Blunt (247)</t>
  </si>
  <si>
    <t>Gavan Smith (247)</t>
  </si>
  <si>
    <t>Alex Shetler</t>
  </si>
  <si>
    <t>courtney schaeffer</t>
  </si>
  <si>
    <t>Emily Brame</t>
  </si>
  <si>
    <t>Emme Boyette</t>
  </si>
  <si>
    <t>Jeff Bajdo</t>
  </si>
  <si>
    <t>Ryan Thompson</t>
  </si>
  <si>
    <t>Jack Adams (232)</t>
  </si>
  <si>
    <t>Edisom (234)</t>
  </si>
  <si>
    <t>The Taliban</t>
  </si>
  <si>
    <t>grace davis</t>
  </si>
  <si>
    <t>Gigi</t>
  </si>
  <si>
    <t>Tara Guastalli</t>
  </si>
  <si>
    <t>Jettalin Buffum</t>
  </si>
  <si>
    <t>Pratyush Karthikeyan</t>
  </si>
  <si>
    <t>Dror Ohad (269)</t>
  </si>
  <si>
    <t>Toby Muther (269)</t>
  </si>
  <si>
    <t>Whitelaw Reid</t>
  </si>
  <si>
    <t>victoria sc</t>
  </si>
  <si>
    <t>Carly Regan</t>
  </si>
  <si>
    <t>Kyndale Simmons</t>
  </si>
  <si>
    <t>Lucas Ray</t>
  </si>
  <si>
    <t>Ricky Flores</t>
  </si>
  <si>
    <t>Noble (230)</t>
  </si>
  <si>
    <t>Alex Swiss (230)</t>
  </si>
  <si>
    <t>Any Brother of DKE</t>
  </si>
  <si>
    <t>sarah cathie</t>
  </si>
  <si>
    <t>Ashley Carvalheiro</t>
  </si>
  <si>
    <t>Mackenna Conish</t>
  </si>
  <si>
    <t>Matt Carneiro</t>
  </si>
  <si>
    <t>Gavin Komoda</t>
  </si>
  <si>
    <t>Marc Elkhoury (268)</t>
  </si>
  <si>
    <t>Danielle Sockol(268)</t>
  </si>
  <si>
    <t>Maya Shanley</t>
  </si>
  <si>
    <t>keira waggoner</t>
  </si>
  <si>
    <t>Rachel Helffenstein</t>
  </si>
  <si>
    <t>Cat Cole-French</t>
  </si>
  <si>
    <t>Nathaniel Bartsch</t>
  </si>
  <si>
    <t>Dominic Raifsnider</t>
  </si>
  <si>
    <t>Xavier Q Wellington IV (192)</t>
  </si>
  <si>
    <t>Snell (236)</t>
  </si>
  <si>
    <t>Gavin Moody</t>
  </si>
  <si>
    <t>ryley ko</t>
  </si>
  <si>
    <t>Avery Pendergast</t>
  </si>
  <si>
    <t>Kendra Jozokos</t>
  </si>
  <si>
    <t>Nick Paul</t>
  </si>
  <si>
    <t>Dakota Baker</t>
  </si>
  <si>
    <t>Martinez (272)</t>
  </si>
  <si>
    <t xml:space="preserve">Andres Garcia (272) </t>
  </si>
  <si>
    <t>John Skorcik</t>
  </si>
  <si>
    <t>sofia mariniello</t>
  </si>
  <si>
    <t>Alejandra Caceres</t>
  </si>
  <si>
    <t>Sofia DePasquale</t>
  </si>
  <si>
    <t>Robert Wingert</t>
  </si>
  <si>
    <t>Rex Gleason</t>
  </si>
  <si>
    <t>Janderson (205)</t>
  </si>
  <si>
    <t>Saddam Hussan (205)</t>
  </si>
  <si>
    <t>Kayla Nugent</t>
  </si>
  <si>
    <t>cat fillip</t>
  </si>
  <si>
    <t>Jules Buonfiglio</t>
  </si>
  <si>
    <t>Helen Chacha</t>
  </si>
  <si>
    <t>Ryan Andersen</t>
  </si>
  <si>
    <t>Jamison Sass</t>
  </si>
  <si>
    <t>Derek Shedleski (248)</t>
  </si>
  <si>
    <t>Charlene Kiester (248)</t>
  </si>
  <si>
    <t>Liana Grosser</t>
  </si>
  <si>
    <t>kate delucca</t>
  </si>
  <si>
    <t>Abbie Krason</t>
  </si>
  <si>
    <t>Annie Siliker</t>
  </si>
  <si>
    <t>Sebastian Canakis</t>
  </si>
  <si>
    <t>Ryley Robinson</t>
  </si>
  <si>
    <t>Shuron (200)</t>
  </si>
  <si>
    <t>Gabby Mithcell (200)</t>
  </si>
  <si>
    <t>Justin Sorese</t>
  </si>
  <si>
    <t>julia hogencamp</t>
  </si>
  <si>
    <t>Shannon Allman</t>
  </si>
  <si>
    <t>Tanner Christina</t>
  </si>
  <si>
    <t>Tesh Jaswal</t>
  </si>
  <si>
    <t>Leo (259)</t>
  </si>
  <si>
    <t>Miles Wong (259)</t>
  </si>
  <si>
    <t>Jacob Levy</t>
  </si>
  <si>
    <t>bailey allen</t>
  </si>
  <si>
    <t>Emma Hart</t>
  </si>
  <si>
    <t>Vlad Usatii</t>
  </si>
  <si>
    <t>Tyler Friel</t>
  </si>
  <si>
    <t>Markus Bray</t>
  </si>
  <si>
    <t>lily goodman</t>
  </si>
  <si>
    <t>Lianna Pottgen</t>
  </si>
  <si>
    <t>Will Kiracofe</t>
  </si>
  <si>
    <t>Joe Doros</t>
  </si>
  <si>
    <t>felicity roberts</t>
  </si>
  <si>
    <t>Emily Figueroa</t>
  </si>
  <si>
    <t>Zach Staerk</t>
  </si>
  <si>
    <t>Paal Skjefstad</t>
  </si>
  <si>
    <t>sophia pries</t>
  </si>
  <si>
    <t>Katie Boardman</t>
  </si>
  <si>
    <t>Nick Ward</t>
  </si>
  <si>
    <t>Francesca</t>
  </si>
  <si>
    <t>Gavin Gibson-Singleton</t>
  </si>
  <si>
    <t>Stefan Radek</t>
  </si>
  <si>
    <t>Ashton Young</t>
  </si>
  <si>
    <t>Jason Howe</t>
  </si>
  <si>
    <t>Ben Knisley</t>
  </si>
  <si>
    <t>Gerard Tolentini</t>
  </si>
  <si>
    <t>Ryan Hoot</t>
  </si>
  <si>
    <t>Gerard Tolentino</t>
  </si>
  <si>
    <t>Final List</t>
  </si>
  <si>
    <t>This sheet automatically populates and sorts from the Signup Page</t>
  </si>
  <si>
    <t>Madison Brocious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</si>
</sst>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 am/pm"/>
  </numFmts>
  <fonts count="15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sz val="11.0"/>
      <color rgb="FF000000"/>
      <name val="Inconsolata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24.0"/>
      <color rgb="FFFFFFFF"/>
      <name val="Arial"/>
      <scheme val="minor"/>
    </font>
    <font/>
    <font>
      <sz val="18.0"/>
      <color theme="1"/>
      <name val="Arial"/>
      <scheme val="minor"/>
    </font>
    <font>
      <sz val="14.0"/>
      <color theme="1"/>
      <name val="Arial"/>
      <scheme val="minor"/>
    </font>
    <font>
      <sz val="13.0"/>
      <color theme="1"/>
      <name val="'UICTFontTextStyleBody'"/>
    </font>
    <font>
      <sz val="12.0"/>
      <color theme="1"/>
      <name val="Arial"/>
      <scheme val="minor"/>
    </font>
    <font>
      <sz val="13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1155CC"/>
        <bgColor rgb="FF1155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vertical="bottom"/>
    </xf>
    <xf borderId="2" fillId="3" fontId="6" numFmtId="0" xfId="0" applyAlignment="1" applyBorder="1" applyFont="1">
      <alignment vertical="bottom"/>
    </xf>
    <xf borderId="3" fillId="3" fontId="6" numFmtId="0" xfId="0" applyAlignment="1" applyBorder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6" fillId="0" fontId="7" numFmtId="0" xfId="0" applyAlignment="1" applyBorder="1" applyFont="1">
      <alignment readingOrder="0" vertical="bottom"/>
    </xf>
    <xf borderId="7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9" fillId="4" fontId="5" numFmtId="0" xfId="0" applyAlignment="1" applyBorder="1" applyFill="1" applyFont="1">
      <alignment vertical="bottom"/>
    </xf>
    <xf borderId="1" fillId="5" fontId="8" numFmtId="0" xfId="0" applyAlignment="1" applyBorder="1" applyFill="1" applyFont="1">
      <alignment horizontal="center" readingOrder="0"/>
    </xf>
    <xf borderId="2" fillId="0" fontId="9" numFmtId="0" xfId="0" applyBorder="1" applyFont="1"/>
    <xf borderId="3" fillId="0" fontId="9" numFmtId="0" xfId="0" applyBorder="1" applyFont="1"/>
    <xf borderId="0" fillId="0" fontId="5" numFmtId="0" xfId="0" applyAlignment="1" applyFont="1">
      <alignment horizontal="right" readingOrder="0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readingOrder="0" vertical="bottom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0" fillId="6" fontId="7" numFmtId="0" xfId="0" applyAlignment="1" applyFill="1" applyFont="1">
      <alignment horizontal="right" vertical="bottom"/>
    </xf>
    <xf borderId="0" fillId="7" fontId="7" numFmtId="0" xfId="0" applyAlignment="1" applyFill="1" applyFont="1">
      <alignment horizontal="right" vertical="bottom"/>
    </xf>
    <xf borderId="10" fillId="0" fontId="10" numFmtId="0" xfId="0" applyAlignment="1" applyBorder="1" applyFont="1">
      <alignment horizontal="right" readingOrder="0" vertical="center"/>
    </xf>
    <xf borderId="1" fillId="0" fontId="11" numFmtId="164" xfId="0" applyAlignment="1" applyBorder="1" applyFont="1" applyNumberFormat="1">
      <alignment horizontal="center" readingOrder="0" vertical="center"/>
    </xf>
    <xf borderId="7" fillId="0" fontId="7" numFmtId="0" xfId="0" applyAlignment="1" applyBorder="1" applyFont="1">
      <alignment vertical="bottom"/>
    </xf>
    <xf borderId="7" fillId="0" fontId="7" numFmtId="0" xfId="0" applyAlignment="1" applyBorder="1" applyFont="1">
      <alignment readingOrder="0" vertical="bottom"/>
    </xf>
    <xf borderId="11" fillId="0" fontId="9" numFmtId="0" xfId="0" applyBorder="1" applyFont="1"/>
    <xf borderId="2" fillId="8" fontId="7" numFmtId="0" xfId="0" applyAlignment="1" applyBorder="1" applyFill="1" applyFont="1">
      <alignment readingOrder="0" vertical="bottom"/>
    </xf>
    <xf borderId="2" fillId="8" fontId="7" numFmtId="0" xfId="0" applyAlignment="1" applyBorder="1" applyFont="1">
      <alignment vertical="bottom"/>
    </xf>
    <xf borderId="0" fillId="0" fontId="12" numFmtId="0" xfId="0" applyAlignment="1" applyFont="1">
      <alignment readingOrder="0"/>
    </xf>
    <xf borderId="1" fillId="0" fontId="13" numFmtId="0" xfId="0" applyAlignment="1" applyBorder="1" applyFont="1">
      <alignment horizontal="center" readingOrder="0" vertical="center"/>
    </xf>
    <xf borderId="0" fillId="8" fontId="7" numFmtId="0" xfId="0" applyAlignment="1" applyFont="1">
      <alignment vertical="bottom"/>
    </xf>
    <xf borderId="1" fillId="0" fontId="14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3" numFmtId="164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right" readingOrder="0" vertical="center"/>
    </xf>
    <xf borderId="0" fillId="0" fontId="11" numFmtId="0" xfId="0" applyAlignment="1" applyFont="1">
      <alignment horizontal="center" vertical="center"/>
    </xf>
    <xf borderId="0" fillId="0" fontId="13" numFmtId="0" xfId="0" applyAlignment="1" applyFont="1">
      <alignment horizontal="right" readingOrder="0" vertical="center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12" fillId="0" fontId="5" numFmtId="0" xfId="0" applyAlignment="1" applyBorder="1" applyFont="1">
      <alignment shrinkToFit="0" vertical="bottom" wrapText="0"/>
    </xf>
    <xf borderId="13" fillId="0" fontId="9" numFmtId="0" xfId="0" applyBorder="1" applyFont="1"/>
    <xf borderId="0" fillId="0" fontId="5" numFmtId="0" xfId="0" applyAlignment="1" applyFont="1">
      <alignment readingOrder="0" vertical="bottom"/>
    </xf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b/>
        <strike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</row>
    <row r="2">
      <c r="D2" s="2"/>
    </row>
    <row r="4">
      <c r="A4" s="3" t="s">
        <v>1</v>
      </c>
      <c r="B4" s="4" t="s">
        <v>2</v>
      </c>
    </row>
    <row r="6">
      <c r="A6" s="5" t="s">
        <v>3</v>
      </c>
    </row>
    <row r="7">
      <c r="A7" s="5" t="s">
        <v>4</v>
      </c>
    </row>
    <row r="9">
      <c r="A9" s="5" t="s">
        <v>5</v>
      </c>
    </row>
    <row r="10">
      <c r="A10" s="5" t="s">
        <v>6</v>
      </c>
    </row>
    <row r="11">
      <c r="A11" s="5" t="s">
        <v>7</v>
      </c>
    </row>
    <row r="12">
      <c r="A12" s="5" t="s">
        <v>8</v>
      </c>
    </row>
    <row r="14">
      <c r="A14" s="3" t="s">
        <v>9</v>
      </c>
      <c r="B14" s="4" t="s">
        <v>10</v>
      </c>
    </row>
    <row r="16">
      <c r="A16" s="5" t="s">
        <v>11</v>
      </c>
    </row>
    <row r="17">
      <c r="A17" s="5" t="s">
        <v>12</v>
      </c>
    </row>
    <row r="18">
      <c r="A18" s="5" t="s">
        <v>13</v>
      </c>
    </row>
    <row r="19">
      <c r="A19" s="5" t="s">
        <v>14</v>
      </c>
    </row>
    <row r="20">
      <c r="B20" s="5"/>
    </row>
    <row r="21">
      <c r="B21" s="5" t="s">
        <v>15</v>
      </c>
    </row>
    <row r="22">
      <c r="B22" s="6" t="s">
        <v>16</v>
      </c>
      <c r="C22" s="7" t="s">
        <v>17</v>
      </c>
      <c r="D22" s="7" t="s">
        <v>18</v>
      </c>
      <c r="E22" s="8" t="s">
        <v>19</v>
      </c>
    </row>
    <row r="23">
      <c r="B23" s="9" t="s">
        <v>20</v>
      </c>
      <c r="C23" s="10" t="s">
        <v>21</v>
      </c>
      <c r="D23" s="10" t="s">
        <v>22</v>
      </c>
      <c r="E23" s="11" t="s">
        <v>23</v>
      </c>
    </row>
    <row r="24">
      <c r="B24" s="12" t="s">
        <v>24</v>
      </c>
      <c r="C24" s="13" t="s">
        <v>25</v>
      </c>
      <c r="D24" s="13" t="s">
        <v>26</v>
      </c>
      <c r="E24" s="14" t="s">
        <v>27</v>
      </c>
    </row>
    <row r="26">
      <c r="A26" s="3" t="s">
        <v>28</v>
      </c>
      <c r="B26" s="4" t="s">
        <v>29</v>
      </c>
    </row>
    <row r="27">
      <c r="A27" s="5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0.38"/>
    <col customWidth="1" min="3" max="4" width="18.88"/>
    <col customWidth="1" min="5" max="5" width="4.63"/>
    <col customWidth="1" min="11" max="13" width="18.88"/>
    <col customWidth="1" min="14" max="14" width="19.13"/>
    <col customWidth="1" min="15" max="17" width="18.88"/>
    <col customWidth="1" min="18" max="18" width="17.63"/>
    <col customWidth="1" min="19" max="19" width="14.5"/>
    <col customWidth="1" min="21" max="21" width="13.38"/>
    <col customWidth="1" min="22" max="22" width="18.0"/>
    <col customWidth="1" min="23" max="23" width="16.63"/>
  </cols>
  <sheetData>
    <row r="1">
      <c r="A1" s="15" t="s">
        <v>31</v>
      </c>
      <c r="B1" s="15" t="s">
        <v>17</v>
      </c>
      <c r="C1" s="15" t="s">
        <v>32</v>
      </c>
      <c r="D1" s="15" t="s">
        <v>33</v>
      </c>
      <c r="F1" s="16" t="s">
        <v>34</v>
      </c>
      <c r="G1" s="17"/>
      <c r="H1" s="17"/>
      <c r="I1" s="18"/>
      <c r="J1" s="19" t="s">
        <v>35</v>
      </c>
      <c r="K1" s="20">
        <v>15.0</v>
      </c>
      <c r="L1" s="20">
        <v>15.0</v>
      </c>
      <c r="M1" s="20">
        <v>15.0</v>
      </c>
      <c r="N1" s="20">
        <v>15.0</v>
      </c>
      <c r="O1" s="20">
        <v>15.0</v>
      </c>
      <c r="P1" s="21">
        <v>15.0</v>
      </c>
      <c r="Q1" s="21">
        <v>15.0</v>
      </c>
      <c r="R1" s="21">
        <v>15.0</v>
      </c>
      <c r="S1" s="21">
        <v>15.0</v>
      </c>
      <c r="T1" s="21">
        <v>15.0</v>
      </c>
      <c r="U1" s="21">
        <v>15.0</v>
      </c>
      <c r="V1" s="21">
        <v>15.0</v>
      </c>
      <c r="W1" s="21">
        <v>15.0</v>
      </c>
      <c r="X1" s="21">
        <v>15.0</v>
      </c>
      <c r="Y1" s="21">
        <v>15.0</v>
      </c>
      <c r="Z1" s="21">
        <v>15.0</v>
      </c>
    </row>
    <row r="2">
      <c r="A2" s="22" t="s">
        <v>36</v>
      </c>
      <c r="B2" s="5" t="s">
        <v>37</v>
      </c>
      <c r="F2" s="23"/>
      <c r="G2" s="24"/>
      <c r="H2" s="24"/>
      <c r="I2" s="25"/>
      <c r="J2" s="19" t="s">
        <v>38</v>
      </c>
      <c r="K2" s="26">
        <f t="shared" ref="K2:Z2" si="1">COUNTA(K4:K1008)</f>
        <v>33</v>
      </c>
      <c r="L2" s="26">
        <f t="shared" si="1"/>
        <v>27</v>
      </c>
      <c r="M2" s="27">
        <f t="shared" si="1"/>
        <v>32</v>
      </c>
      <c r="N2" s="26">
        <f t="shared" si="1"/>
        <v>18</v>
      </c>
      <c r="O2" s="27">
        <f t="shared" si="1"/>
        <v>0</v>
      </c>
      <c r="P2" s="27">
        <f t="shared" si="1"/>
        <v>0</v>
      </c>
      <c r="Q2" s="27">
        <f t="shared" si="1"/>
        <v>0</v>
      </c>
      <c r="R2" s="26">
        <f t="shared" si="1"/>
        <v>5</v>
      </c>
      <c r="S2" s="27">
        <f t="shared" si="1"/>
        <v>11</v>
      </c>
      <c r="T2" s="27">
        <f t="shared" si="1"/>
        <v>12</v>
      </c>
      <c r="U2" s="27">
        <f t="shared" si="1"/>
        <v>31</v>
      </c>
      <c r="V2" s="27">
        <f t="shared" si="1"/>
        <v>7</v>
      </c>
      <c r="W2" s="26">
        <f t="shared" si="1"/>
        <v>6</v>
      </c>
      <c r="X2" s="27">
        <f t="shared" si="1"/>
        <v>29</v>
      </c>
      <c r="Y2" s="27">
        <f t="shared" si="1"/>
        <v>0</v>
      </c>
      <c r="Z2" s="27">
        <f t="shared" si="1"/>
        <v>0</v>
      </c>
    </row>
    <row r="3">
      <c r="A3" s="22" t="s">
        <v>39</v>
      </c>
      <c r="B3" s="5" t="s">
        <v>40</v>
      </c>
      <c r="C3" s="5"/>
      <c r="F3" s="28" t="s">
        <v>41</v>
      </c>
      <c r="G3" s="29">
        <v>46060.916666666664</v>
      </c>
      <c r="H3" s="17"/>
      <c r="I3" s="18"/>
      <c r="K3" s="30" t="s">
        <v>42</v>
      </c>
      <c r="L3" s="30" t="s">
        <v>43</v>
      </c>
      <c r="M3" s="30" t="s">
        <v>44</v>
      </c>
      <c r="N3" s="30" t="s">
        <v>45</v>
      </c>
      <c r="O3" s="30" t="s">
        <v>46</v>
      </c>
      <c r="P3" s="30" t="s">
        <v>47</v>
      </c>
      <c r="Q3" s="30" t="s">
        <v>48</v>
      </c>
      <c r="R3" s="31" t="s">
        <v>49</v>
      </c>
      <c r="S3" s="31" t="s">
        <v>50</v>
      </c>
      <c r="T3" s="31" t="s">
        <v>51</v>
      </c>
      <c r="U3" s="31" t="s">
        <v>52</v>
      </c>
      <c r="V3" s="13" t="s">
        <v>53</v>
      </c>
      <c r="W3" s="13" t="s">
        <v>54</v>
      </c>
      <c r="X3" s="13" t="s">
        <v>55</v>
      </c>
      <c r="Y3" s="31" t="s">
        <v>56</v>
      </c>
      <c r="Z3" s="31" t="s">
        <v>57</v>
      </c>
    </row>
    <row r="4">
      <c r="A4" s="22" t="s">
        <v>58</v>
      </c>
      <c r="B4" s="5" t="s">
        <v>59</v>
      </c>
      <c r="F4" s="32"/>
      <c r="G4" s="23"/>
      <c r="H4" s="24"/>
      <c r="I4" s="25"/>
      <c r="K4" s="5" t="s">
        <v>60</v>
      </c>
      <c r="L4" s="33" t="s">
        <v>61</v>
      </c>
      <c r="M4" s="34" t="s">
        <v>62</v>
      </c>
      <c r="N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35" t="s">
        <v>68</v>
      </c>
      <c r="W4" s="5" t="s">
        <v>69</v>
      </c>
      <c r="X4" s="5" t="s">
        <v>70</v>
      </c>
    </row>
    <row r="5">
      <c r="A5" s="22" t="s">
        <v>71</v>
      </c>
      <c r="B5" s="5" t="s">
        <v>72</v>
      </c>
      <c r="F5" s="28" t="s">
        <v>73</v>
      </c>
      <c r="G5" s="36" t="s">
        <v>74</v>
      </c>
      <c r="H5" s="17"/>
      <c r="I5" s="18"/>
      <c r="K5" s="5" t="s">
        <v>75</v>
      </c>
      <c r="L5" s="37" t="s">
        <v>76</v>
      </c>
      <c r="M5" s="37" t="s">
        <v>77</v>
      </c>
      <c r="N5" s="5" t="s">
        <v>78</v>
      </c>
      <c r="R5" s="5" t="s">
        <v>79</v>
      </c>
      <c r="S5" s="5" t="s">
        <v>80</v>
      </c>
      <c r="T5" s="5" t="s">
        <v>81</v>
      </c>
      <c r="U5" s="5" t="s">
        <v>82</v>
      </c>
      <c r="V5" s="35" t="s">
        <v>83</v>
      </c>
      <c r="W5" s="5" t="s">
        <v>84</v>
      </c>
      <c r="X5" s="5" t="s">
        <v>85</v>
      </c>
    </row>
    <row r="6">
      <c r="A6" s="22" t="s">
        <v>86</v>
      </c>
      <c r="B6" s="5" t="s">
        <v>87</v>
      </c>
      <c r="F6" s="32"/>
      <c r="G6" s="23"/>
      <c r="H6" s="24"/>
      <c r="I6" s="25"/>
      <c r="K6" s="5" t="s">
        <v>88</v>
      </c>
      <c r="L6" s="37" t="s">
        <v>89</v>
      </c>
      <c r="M6" s="37" t="s">
        <v>90</v>
      </c>
      <c r="N6" s="5" t="s">
        <v>91</v>
      </c>
      <c r="R6" s="5" t="s">
        <v>92</v>
      </c>
      <c r="S6" s="5" t="s">
        <v>93</v>
      </c>
      <c r="T6" s="5" t="s">
        <v>94</v>
      </c>
      <c r="U6" s="5" t="s">
        <v>95</v>
      </c>
      <c r="V6" s="35" t="s">
        <v>96</v>
      </c>
      <c r="W6" s="5" t="s">
        <v>97</v>
      </c>
      <c r="X6" s="5" t="s">
        <v>98</v>
      </c>
    </row>
    <row r="7">
      <c r="A7" s="22" t="s">
        <v>99</v>
      </c>
      <c r="B7" s="5" t="s">
        <v>100</v>
      </c>
      <c r="F7" s="38" t="s">
        <v>101</v>
      </c>
      <c r="G7" s="17"/>
      <c r="H7" s="17"/>
      <c r="I7" s="18"/>
      <c r="K7" s="5" t="s">
        <v>102</v>
      </c>
      <c r="L7" s="37" t="s">
        <v>103</v>
      </c>
      <c r="M7" s="37" t="s">
        <v>104</v>
      </c>
      <c r="N7" s="5" t="s">
        <v>105</v>
      </c>
      <c r="R7" s="5" t="s">
        <v>106</v>
      </c>
      <c r="S7" s="5" t="s">
        <v>107</v>
      </c>
      <c r="T7" s="5" t="s">
        <v>108</v>
      </c>
      <c r="U7" s="5" t="s">
        <v>109</v>
      </c>
      <c r="V7" s="35" t="s">
        <v>110</v>
      </c>
      <c r="W7" s="5" t="s">
        <v>111</v>
      </c>
      <c r="X7" s="5" t="s">
        <v>112</v>
      </c>
    </row>
    <row r="8">
      <c r="A8" s="5" t="s">
        <v>113</v>
      </c>
      <c r="B8" s="5" t="s">
        <v>114</v>
      </c>
      <c r="F8" s="23"/>
      <c r="G8" s="24"/>
      <c r="H8" s="24"/>
      <c r="I8" s="25"/>
      <c r="K8" s="5" t="s">
        <v>115</v>
      </c>
      <c r="L8" s="37" t="s">
        <v>116</v>
      </c>
      <c r="M8" s="37" t="s">
        <v>117</v>
      </c>
      <c r="N8" s="5" t="s">
        <v>118</v>
      </c>
      <c r="R8" s="5" t="s">
        <v>119</v>
      </c>
      <c r="S8" s="5" t="s">
        <v>120</v>
      </c>
      <c r="T8" s="5" t="s">
        <v>121</v>
      </c>
      <c r="U8" s="5" t="s">
        <v>122</v>
      </c>
      <c r="V8" s="35" t="s">
        <v>123</v>
      </c>
      <c r="W8" s="5" t="s">
        <v>124</v>
      </c>
      <c r="X8" s="5" t="s">
        <v>125</v>
      </c>
    </row>
    <row r="9">
      <c r="A9" s="5" t="s">
        <v>126</v>
      </c>
      <c r="B9" s="5" t="s">
        <v>127</v>
      </c>
      <c r="F9" s="39" t="s">
        <v>128</v>
      </c>
      <c r="G9" s="18"/>
      <c r="H9" s="40">
        <v>46059.916666666664</v>
      </c>
      <c r="I9" s="18"/>
      <c r="K9" s="5" t="s">
        <v>129</v>
      </c>
      <c r="L9" s="37" t="s">
        <v>130</v>
      </c>
      <c r="M9" s="37" t="s">
        <v>131</v>
      </c>
      <c r="N9" s="5" t="s">
        <v>132</v>
      </c>
      <c r="S9" s="5" t="s">
        <v>133</v>
      </c>
      <c r="T9" s="5" t="s">
        <v>134</v>
      </c>
      <c r="U9" s="5" t="s">
        <v>135</v>
      </c>
      <c r="V9" s="35" t="s">
        <v>136</v>
      </c>
      <c r="W9" s="5" t="s">
        <v>137</v>
      </c>
      <c r="X9" s="5" t="s">
        <v>138</v>
      </c>
    </row>
    <row r="10">
      <c r="A10" s="5" t="s">
        <v>139</v>
      </c>
      <c r="B10" s="5" t="s">
        <v>140</v>
      </c>
      <c r="F10" s="23"/>
      <c r="G10" s="25"/>
      <c r="H10" s="23"/>
      <c r="I10" s="25"/>
      <c r="K10" s="5" t="s">
        <v>141</v>
      </c>
      <c r="L10" s="37" t="s">
        <v>142</v>
      </c>
      <c r="M10" s="37" t="s">
        <v>143</v>
      </c>
      <c r="N10" s="5" t="s">
        <v>144</v>
      </c>
      <c r="S10" s="5" t="s">
        <v>145</v>
      </c>
      <c r="T10" s="5" t="s">
        <v>146</v>
      </c>
      <c r="U10" s="5" t="s">
        <v>147</v>
      </c>
      <c r="V10" s="35" t="s">
        <v>148</v>
      </c>
      <c r="X10" s="5" t="s">
        <v>149</v>
      </c>
    </row>
    <row r="11">
      <c r="A11" s="5" t="s">
        <v>150</v>
      </c>
      <c r="B11" s="5" t="s">
        <v>151</v>
      </c>
      <c r="C11" s="5" t="s">
        <v>152</v>
      </c>
      <c r="K11" s="5" t="s">
        <v>153</v>
      </c>
      <c r="L11" s="37" t="s">
        <v>154</v>
      </c>
      <c r="M11" s="37" t="s">
        <v>155</v>
      </c>
      <c r="N11" s="5" t="s">
        <v>156</v>
      </c>
      <c r="S11" s="5" t="s">
        <v>157</v>
      </c>
      <c r="T11" s="5" t="s">
        <v>158</v>
      </c>
      <c r="U11" s="5" t="s">
        <v>159</v>
      </c>
      <c r="X11" s="5" t="s">
        <v>160</v>
      </c>
    </row>
    <row r="12">
      <c r="A12" s="5" t="s">
        <v>161</v>
      </c>
      <c r="B12" s="5" t="s">
        <v>162</v>
      </c>
      <c r="F12" s="41" t="s">
        <v>163</v>
      </c>
      <c r="H12" s="42">
        <f>COUNTA('Final List'!A2:A1008)</f>
        <v>274</v>
      </c>
      <c r="K12" s="5" t="s">
        <v>164</v>
      </c>
      <c r="L12" s="37" t="s">
        <v>165</v>
      </c>
      <c r="M12" s="37" t="s">
        <v>166</v>
      </c>
      <c r="N12" s="5" t="s">
        <v>167</v>
      </c>
      <c r="S12" s="5" t="s">
        <v>168</v>
      </c>
      <c r="T12" s="5" t="s">
        <v>169</v>
      </c>
      <c r="U12" s="5" t="s">
        <v>170</v>
      </c>
      <c r="X12" s="5" t="s">
        <v>171</v>
      </c>
    </row>
    <row r="13">
      <c r="A13" s="5" t="s">
        <v>172</v>
      </c>
      <c r="B13" s="5" t="s">
        <v>173</v>
      </c>
      <c r="K13" s="5" t="s">
        <v>174</v>
      </c>
      <c r="L13" s="37" t="s">
        <v>175</v>
      </c>
      <c r="M13" s="37" t="s">
        <v>176</v>
      </c>
      <c r="N13" s="5" t="s">
        <v>177</v>
      </c>
      <c r="S13" s="5" t="s">
        <v>178</v>
      </c>
      <c r="T13" s="5" t="s">
        <v>179</v>
      </c>
      <c r="U13" s="5" t="s">
        <v>180</v>
      </c>
      <c r="X13" s="5" t="s">
        <v>181</v>
      </c>
    </row>
    <row r="14">
      <c r="A14" s="5" t="s">
        <v>182</v>
      </c>
      <c r="B14" s="5" t="s">
        <v>183</v>
      </c>
      <c r="C14" s="5" t="s">
        <v>152</v>
      </c>
      <c r="F14" s="43" t="s">
        <v>184</v>
      </c>
      <c r="H14" s="42">
        <f>SUM(K2:Z2)</f>
        <v>211</v>
      </c>
      <c r="K14" s="5" t="s">
        <v>185</v>
      </c>
      <c r="L14" s="37" t="s">
        <v>186</v>
      </c>
      <c r="M14" s="37" t="s">
        <v>187</v>
      </c>
      <c r="N14" s="5" t="s">
        <v>188</v>
      </c>
      <c r="S14" s="5" t="s">
        <v>189</v>
      </c>
      <c r="T14" s="5" t="s">
        <v>190</v>
      </c>
      <c r="U14" s="5" t="s">
        <v>191</v>
      </c>
      <c r="X14" s="5" t="s">
        <v>192</v>
      </c>
    </row>
    <row r="15">
      <c r="A15" s="5" t="s">
        <v>193</v>
      </c>
      <c r="B15" s="5" t="s">
        <v>194</v>
      </c>
      <c r="K15" s="5" t="s">
        <v>195</v>
      </c>
      <c r="L15" s="37" t="s">
        <v>196</v>
      </c>
      <c r="M15" s="37" t="s">
        <v>197</v>
      </c>
      <c r="N15" s="5" t="s">
        <v>198</v>
      </c>
      <c r="T15" s="5" t="s">
        <v>199</v>
      </c>
      <c r="U15" s="5" t="s">
        <v>200</v>
      </c>
      <c r="X15" s="5" t="s">
        <v>201</v>
      </c>
    </row>
    <row r="16">
      <c r="A16" s="5" t="s">
        <v>202</v>
      </c>
      <c r="B16" s="5" t="s">
        <v>203</v>
      </c>
      <c r="D16" s="5" t="s">
        <v>152</v>
      </c>
      <c r="F16" s="41" t="s">
        <v>204</v>
      </c>
      <c r="I16" s="42">
        <f>CEILING(COUNTA(A2:A1008)/5,1)</f>
        <v>7</v>
      </c>
      <c r="K16" s="5" t="s">
        <v>205</v>
      </c>
      <c r="L16" s="37" t="s">
        <v>206</v>
      </c>
      <c r="M16" s="37" t="s">
        <v>207</v>
      </c>
      <c r="N16" s="5" t="s">
        <v>208</v>
      </c>
      <c r="U16" s="5" t="s">
        <v>209</v>
      </c>
      <c r="X16" s="5" t="s">
        <v>210</v>
      </c>
    </row>
    <row r="17">
      <c r="A17" s="5" t="s">
        <v>211</v>
      </c>
      <c r="B17" s="5" t="s">
        <v>212</v>
      </c>
      <c r="K17" s="5" t="s">
        <v>213</v>
      </c>
      <c r="L17" s="37" t="s">
        <v>214</v>
      </c>
      <c r="M17" s="37" t="s">
        <v>215</v>
      </c>
      <c r="N17" s="5" t="s">
        <v>216</v>
      </c>
      <c r="U17" s="5" t="s">
        <v>217</v>
      </c>
      <c r="X17" s="5" t="s">
        <v>218</v>
      </c>
    </row>
    <row r="18">
      <c r="A18" s="5" t="s">
        <v>219</v>
      </c>
      <c r="B18" s="5" t="s">
        <v>220</v>
      </c>
      <c r="K18" s="5" t="s">
        <v>221</v>
      </c>
      <c r="L18" s="37" t="s">
        <v>222</v>
      </c>
      <c r="M18" s="37" t="s">
        <v>223</v>
      </c>
      <c r="N18" s="5" t="s">
        <v>224</v>
      </c>
      <c r="U18" s="5" t="s">
        <v>225</v>
      </c>
      <c r="X18" s="5" t="s">
        <v>226</v>
      </c>
    </row>
    <row r="19">
      <c r="A19" s="5" t="s">
        <v>227</v>
      </c>
      <c r="B19" s="5" t="s">
        <v>228</v>
      </c>
      <c r="F19" s="44" t="s">
        <v>229</v>
      </c>
      <c r="K19" s="5" t="s">
        <v>230</v>
      </c>
      <c r="L19" s="37" t="s">
        <v>231</v>
      </c>
      <c r="M19" s="37" t="s">
        <v>232</v>
      </c>
      <c r="N19" s="5" t="s">
        <v>233</v>
      </c>
      <c r="U19" s="5" t="s">
        <v>234</v>
      </c>
      <c r="X19" s="5" t="s">
        <v>235</v>
      </c>
    </row>
    <row r="20">
      <c r="A20" s="5" t="s">
        <v>236</v>
      </c>
      <c r="B20" s="5" t="s">
        <v>237</v>
      </c>
      <c r="F20" s="45" t="s">
        <v>238</v>
      </c>
      <c r="K20" s="5" t="s">
        <v>239</v>
      </c>
      <c r="L20" s="37" t="s">
        <v>240</v>
      </c>
      <c r="M20" s="37" t="s">
        <v>241</v>
      </c>
      <c r="N20" s="5" t="s">
        <v>242</v>
      </c>
      <c r="U20" s="5" t="s">
        <v>243</v>
      </c>
      <c r="X20" s="5" t="s">
        <v>244</v>
      </c>
    </row>
    <row r="21">
      <c r="A21" s="5" t="s">
        <v>245</v>
      </c>
      <c r="B21" s="5" t="s">
        <v>246</v>
      </c>
      <c r="F21" s="45" t="s">
        <v>247</v>
      </c>
      <c r="K21" s="5" t="s">
        <v>248</v>
      </c>
      <c r="L21" s="37" t="s">
        <v>249</v>
      </c>
      <c r="M21" s="37" t="s">
        <v>250</v>
      </c>
      <c r="N21" s="5" t="s">
        <v>251</v>
      </c>
      <c r="U21" s="5" t="s">
        <v>252</v>
      </c>
      <c r="X21" s="5" t="s">
        <v>253</v>
      </c>
    </row>
    <row r="22">
      <c r="A22" s="5" t="s">
        <v>254</v>
      </c>
      <c r="B22" s="5" t="s">
        <v>255</v>
      </c>
      <c r="F22" s="45" t="s">
        <v>256</v>
      </c>
      <c r="K22" s="5" t="s">
        <v>257</v>
      </c>
      <c r="L22" s="37" t="s">
        <v>258</v>
      </c>
      <c r="M22" s="37" t="s">
        <v>259</v>
      </c>
      <c r="U22" s="5" t="s">
        <v>260</v>
      </c>
      <c r="X22" s="5" t="s">
        <v>261</v>
      </c>
    </row>
    <row r="23">
      <c r="A23" s="5" t="s">
        <v>262</v>
      </c>
      <c r="B23" s="5" t="s">
        <v>263</v>
      </c>
      <c r="F23" s="45" t="s">
        <v>264</v>
      </c>
      <c r="K23" s="5" t="s">
        <v>265</v>
      </c>
      <c r="L23" s="37" t="s">
        <v>266</v>
      </c>
      <c r="M23" s="37" t="s">
        <v>267</v>
      </c>
      <c r="U23" s="5" t="s">
        <v>268</v>
      </c>
      <c r="X23" s="5" t="s">
        <v>269</v>
      </c>
    </row>
    <row r="24">
      <c r="A24" s="5" t="s">
        <v>270</v>
      </c>
      <c r="B24" s="5" t="s">
        <v>271</v>
      </c>
      <c r="F24" s="45" t="s">
        <v>272</v>
      </c>
      <c r="K24" s="5" t="s">
        <v>273</v>
      </c>
      <c r="L24" s="37" t="s">
        <v>274</v>
      </c>
      <c r="M24" s="37" t="s">
        <v>275</v>
      </c>
      <c r="U24" s="5" t="s">
        <v>276</v>
      </c>
      <c r="X24" s="5" t="s">
        <v>277</v>
      </c>
    </row>
    <row r="25">
      <c r="A25" s="5" t="s">
        <v>278</v>
      </c>
      <c r="B25" s="5" t="s">
        <v>279</v>
      </c>
      <c r="F25" s="46" t="s">
        <v>280</v>
      </c>
      <c r="G25" s="47"/>
      <c r="K25" s="5" t="s">
        <v>281</v>
      </c>
      <c r="L25" s="37" t="s">
        <v>282</v>
      </c>
      <c r="M25" s="37" t="s">
        <v>283</v>
      </c>
      <c r="U25" s="5" t="s">
        <v>284</v>
      </c>
      <c r="X25" s="5" t="s">
        <v>285</v>
      </c>
    </row>
    <row r="26">
      <c r="A26" s="5" t="s">
        <v>286</v>
      </c>
      <c r="B26" s="5" t="s">
        <v>287</v>
      </c>
      <c r="F26" s="48" t="s">
        <v>288</v>
      </c>
      <c r="K26" s="5" t="s">
        <v>289</v>
      </c>
      <c r="L26" s="37" t="s">
        <v>290</v>
      </c>
      <c r="M26" s="37" t="s">
        <v>291</v>
      </c>
      <c r="U26" s="5" t="s">
        <v>292</v>
      </c>
      <c r="X26" s="5" t="s">
        <v>293</v>
      </c>
    </row>
    <row r="27">
      <c r="A27" s="5" t="s">
        <v>294</v>
      </c>
      <c r="B27" s="5" t="s">
        <v>295</v>
      </c>
      <c r="F27" s="5" t="s">
        <v>296</v>
      </c>
      <c r="K27" s="5" t="s">
        <v>297</v>
      </c>
      <c r="L27" s="37" t="s">
        <v>298</v>
      </c>
      <c r="M27" s="37" t="s">
        <v>299</v>
      </c>
      <c r="U27" s="5" t="s">
        <v>300</v>
      </c>
      <c r="X27" s="5" t="s">
        <v>301</v>
      </c>
    </row>
    <row r="28">
      <c r="A28" s="5" t="s">
        <v>302</v>
      </c>
      <c r="B28" s="5" t="s">
        <v>303</v>
      </c>
      <c r="F28" s="5" t="s">
        <v>304</v>
      </c>
      <c r="K28" s="5" t="s">
        <v>305</v>
      </c>
      <c r="L28" s="37" t="s">
        <v>306</v>
      </c>
      <c r="M28" s="37" t="s">
        <v>307</v>
      </c>
      <c r="U28" s="5" t="s">
        <v>308</v>
      </c>
      <c r="X28" s="5" t="s">
        <v>309</v>
      </c>
    </row>
    <row r="29">
      <c r="A29" s="5" t="s">
        <v>310</v>
      </c>
      <c r="B29" s="5" t="s">
        <v>311</v>
      </c>
      <c r="F29" s="5" t="s">
        <v>312</v>
      </c>
      <c r="K29" s="5" t="s">
        <v>313</v>
      </c>
      <c r="L29" s="37" t="s">
        <v>314</v>
      </c>
      <c r="M29" s="37" t="s">
        <v>315</v>
      </c>
      <c r="U29" s="5" t="s">
        <v>316</v>
      </c>
      <c r="X29" s="5" t="s">
        <v>317</v>
      </c>
    </row>
    <row r="30">
      <c r="A30" s="5" t="s">
        <v>318</v>
      </c>
      <c r="B30" s="5" t="s">
        <v>319</v>
      </c>
      <c r="F30" s="5" t="s">
        <v>320</v>
      </c>
      <c r="K30" s="5" t="s">
        <v>321</v>
      </c>
      <c r="L30" s="37" t="s">
        <v>322</v>
      </c>
      <c r="M30" s="37" t="s">
        <v>323</v>
      </c>
      <c r="U30" s="5" t="s">
        <v>324</v>
      </c>
      <c r="X30" s="5" t="s">
        <v>325</v>
      </c>
    </row>
    <row r="31">
      <c r="A31" s="5" t="s">
        <v>326</v>
      </c>
      <c r="B31" s="5" t="s">
        <v>327</v>
      </c>
      <c r="F31" s="5" t="s">
        <v>328</v>
      </c>
      <c r="K31" s="5" t="s">
        <v>329</v>
      </c>
      <c r="L31" s="10"/>
      <c r="M31" s="37" t="s">
        <v>330</v>
      </c>
      <c r="U31" s="5" t="s">
        <v>331</v>
      </c>
      <c r="X31" s="5" t="s">
        <v>332</v>
      </c>
    </row>
    <row r="32">
      <c r="A32" s="5" t="s">
        <v>333</v>
      </c>
      <c r="B32" s="5" t="s">
        <v>334</v>
      </c>
      <c r="F32" s="5" t="s">
        <v>335</v>
      </c>
      <c r="K32" s="5" t="s">
        <v>336</v>
      </c>
      <c r="L32" s="10"/>
      <c r="M32" s="37" t="s">
        <v>337</v>
      </c>
      <c r="U32" s="5" t="s">
        <v>338</v>
      </c>
      <c r="X32" s="5" t="s">
        <v>339</v>
      </c>
    </row>
    <row r="33">
      <c r="F33" s="5" t="s">
        <v>340</v>
      </c>
      <c r="K33" s="5" t="s">
        <v>341</v>
      </c>
      <c r="L33" s="10"/>
      <c r="M33" s="37" t="s">
        <v>342</v>
      </c>
      <c r="U33" s="5" t="s">
        <v>343</v>
      </c>
    </row>
    <row r="34">
      <c r="F34" s="5" t="s">
        <v>344</v>
      </c>
      <c r="K34" s="5" t="s">
        <v>345</v>
      </c>
      <c r="L34" s="10"/>
      <c r="M34" s="37" t="s">
        <v>346</v>
      </c>
      <c r="U34" s="5" t="s">
        <v>347</v>
      </c>
    </row>
    <row r="35">
      <c r="F35" s="5" t="s">
        <v>348</v>
      </c>
      <c r="K35" s="5" t="s">
        <v>349</v>
      </c>
      <c r="L35" s="10"/>
      <c r="M35" s="37" t="s">
        <v>350</v>
      </c>
      <c r="U35" s="5"/>
    </row>
    <row r="36">
      <c r="F36" s="5" t="s">
        <v>351</v>
      </c>
      <c r="K36" s="5" t="s">
        <v>352</v>
      </c>
      <c r="L36" s="10"/>
      <c r="M36" s="10"/>
    </row>
    <row r="37">
      <c r="F37" s="5" t="s">
        <v>353</v>
      </c>
      <c r="L37" s="10"/>
    </row>
    <row r="38">
      <c r="F38" s="5" t="s">
        <v>354</v>
      </c>
    </row>
    <row r="39">
      <c r="F39" s="5" t="s">
        <v>355</v>
      </c>
    </row>
    <row r="40">
      <c r="F40" s="5" t="s">
        <v>356</v>
      </c>
    </row>
    <row r="41">
      <c r="F41" s="5" t="s">
        <v>357</v>
      </c>
    </row>
    <row r="42">
      <c r="F42" s="5" t="s">
        <v>358</v>
      </c>
    </row>
    <row r="43">
      <c r="F43" s="5" t="s">
        <v>359</v>
      </c>
    </row>
    <row r="44">
      <c r="F44" s="10" t="s">
        <v>360</v>
      </c>
    </row>
  </sheetData>
  <mergeCells count="46">
    <mergeCell ref="F1:I2"/>
    <mergeCell ref="F3:F4"/>
    <mergeCell ref="G3:I4"/>
    <mergeCell ref="F5:F6"/>
    <mergeCell ref="G5:I6"/>
    <mergeCell ref="F7:I8"/>
    <mergeCell ref="H9:I10"/>
    <mergeCell ref="F9:G10"/>
    <mergeCell ref="F12:G13"/>
    <mergeCell ref="H12:I13"/>
    <mergeCell ref="F14:G15"/>
    <mergeCell ref="H14:I15"/>
    <mergeCell ref="F16:H17"/>
    <mergeCell ref="I16:I17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7:G47"/>
    <mergeCell ref="F48:G48"/>
    <mergeCell ref="F49:G49"/>
    <mergeCell ref="F50:G50"/>
    <mergeCell ref="F40:G40"/>
    <mergeCell ref="F41:G41"/>
    <mergeCell ref="F42:G42"/>
    <mergeCell ref="F43:G43"/>
    <mergeCell ref="F44:G44"/>
    <mergeCell ref="F45:G45"/>
    <mergeCell ref="F46:G46"/>
  </mergeCells>
  <conditionalFormatting sqref="K2:O2">
    <cfRule type="expression" dxfId="0" priority="1">
      <formula>K$2&gt;=K$1</formula>
    </cfRule>
  </conditionalFormatting>
  <conditionalFormatting sqref="K2:O2">
    <cfRule type="expression" dxfId="1" priority="2">
      <formula>K$2&lt;K$1</formula>
    </cfRule>
  </conditionalFormatting>
  <conditionalFormatting sqref="A2:B1000 K4:Z1000">
    <cfRule type="expression" dxfId="2" priority="3">
      <formula>AND(NOT(REGEXMATCH(TO_TEXT(A2),"\w\s\([0-9]+\)")),NOT(ISBLANK(A2)))</formula>
    </cfRule>
  </conditionalFormatting>
  <conditionalFormatting sqref="O4:O1008">
    <cfRule type="notContainsBlanks" dxfId="3" priority="4">
      <formula>LEN(TRIM(O4))&gt;0</formula>
    </cfRule>
  </conditionalFormatting>
  <conditionalFormatting sqref="C1:D1014">
    <cfRule type="cellIs" dxfId="0" priority="5" operator="equal">
      <formula>"yes"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44" t="s">
        <v>361</v>
      </c>
      <c r="C1" s="4" t="s">
        <v>362</v>
      </c>
    </row>
    <row r="2">
      <c r="A2" s="49" t="str">
        <f>IFERROR(__xludf.DUMMYFUNCTION("sort(UNIQUE(filter(FLATTEN('Signup Page'!A2:B1000,'Signup Page'!K4:Z1000),FLATTEN('Signup Page'!A2:B1000,'Signup Page'!K4:Z1000)&lt;&gt;"""")))"),"Abbie Krason")</f>
        <v>Abbie Krason</v>
      </c>
    </row>
    <row r="3">
      <c r="A3" s="49" t="str">
        <f>IFERROR(__xludf.DUMMYFUNCTION("""COMPUTED_VALUE"""),"Adam Moughrabi")</f>
        <v>Adam Moughrabi</v>
      </c>
    </row>
    <row r="4">
      <c r="A4" s="49" t="str">
        <f>IFERROR(__xludf.DUMMYFUNCTION("""COMPUTED_VALUE"""),"Adam Woldan")</f>
        <v>Adam Woldan</v>
      </c>
    </row>
    <row r="5">
      <c r="A5" s="49" t="str">
        <f>IFERROR(__xludf.DUMMYFUNCTION("""COMPUTED_VALUE"""),"Aidan Cavanaugh")</f>
        <v>Aidan Cavanaugh</v>
      </c>
    </row>
    <row r="6">
      <c r="A6" s="49" t="str">
        <f>IFERROR(__xludf.DUMMYFUNCTION("""COMPUTED_VALUE"""),"Aiden Ryan")</f>
        <v>Aiden Ryan</v>
      </c>
    </row>
    <row r="7">
      <c r="A7" s="49" t="str">
        <f>IFERROR(__xludf.DUMMYFUNCTION("""COMPUTED_VALUE"""),"Alec Haag")</f>
        <v>Alec Haag</v>
      </c>
    </row>
    <row r="8">
      <c r="A8" s="49" t="str">
        <f>IFERROR(__xludf.DUMMYFUNCTION("""COMPUTED_VALUE"""),"Alejandra Caceres")</f>
        <v>Alejandra Caceres</v>
      </c>
    </row>
    <row r="9">
      <c r="A9" s="49" t="str">
        <f>IFERROR(__xludf.DUMMYFUNCTION("""COMPUTED_VALUE"""),"Alessandro LealRomero")</f>
        <v>Alessandro LealRomero</v>
      </c>
    </row>
    <row r="10">
      <c r="A10" s="49" t="str">
        <f>IFERROR(__xludf.DUMMYFUNCTION("""COMPUTED_VALUE"""),"Alex barber")</f>
        <v>Alex barber</v>
      </c>
    </row>
    <row r="11">
      <c r="A11" s="49" t="str">
        <f>IFERROR(__xludf.DUMMYFUNCTION("""COMPUTED_VALUE"""),"Alex Kraljic")</f>
        <v>Alex Kraljic</v>
      </c>
    </row>
    <row r="12">
      <c r="A12" s="49" t="str">
        <f>IFERROR(__xludf.DUMMYFUNCTION("""COMPUTED_VALUE"""),"Alex Pross")</f>
        <v>Alex Pross</v>
      </c>
    </row>
    <row r="13">
      <c r="A13" s="49" t="str">
        <f>IFERROR(__xludf.DUMMYFUNCTION("""COMPUTED_VALUE"""),"Alex Swiss (230)")</f>
        <v>Alex Swiss (230)</v>
      </c>
    </row>
    <row r="14">
      <c r="A14" s="49" t="str">
        <f>IFERROR(__xludf.DUMMYFUNCTION("""COMPUTED_VALUE"""),"alexandra paul")</f>
        <v>alexandra paul</v>
      </c>
    </row>
    <row r="15">
      <c r="A15" s="49" t="str">
        <f>IFERROR(__xludf.DUMMYFUNCTION("""COMPUTED_VALUE"""),"Allie Smith")</f>
        <v>Allie Smith</v>
      </c>
    </row>
    <row r="16">
      <c r="A16" s="49" t="str">
        <f>IFERROR(__xludf.DUMMYFUNCTION("""COMPUTED_VALUE"""),"Alvaro (198)")</f>
        <v>Alvaro (198)</v>
      </c>
    </row>
    <row r="17">
      <c r="A17" s="49" t="str">
        <f>IFERROR(__xludf.DUMMYFUNCTION("""COMPUTED_VALUE"""),"amelie wold")</f>
        <v>amelie wold</v>
      </c>
    </row>
    <row r="18">
      <c r="A18" s="49" t="str">
        <f>IFERROR(__xludf.DUMMYFUNCTION("""COMPUTED_VALUE"""),"Ana")</f>
        <v>Ana</v>
      </c>
    </row>
    <row r="19">
      <c r="A19" s="49" t="str">
        <f>IFERROR(__xludf.DUMMYFUNCTION("""COMPUTED_VALUE"""),"anaanya poddar")</f>
        <v>anaanya poddar</v>
      </c>
    </row>
    <row r="20">
      <c r="A20" s="49" t="str">
        <f>IFERROR(__xludf.DUMMYFUNCTION("""COMPUTED_VALUE"""),"Andres Garcia (272) ")</f>
        <v>Andres Garcia (272) </v>
      </c>
    </row>
    <row r="21">
      <c r="A21" s="49" t="str">
        <f>IFERROR(__xludf.DUMMYFUNCTION("""COMPUTED_VALUE"""),"anika pappu")</f>
        <v>anika pappu</v>
      </c>
    </row>
    <row r="22">
      <c r="A22" s="49" t="str">
        <f>IFERROR(__xludf.DUMMYFUNCTION("""COMPUTED_VALUE"""),"anna nelson")</f>
        <v>anna nelson</v>
      </c>
    </row>
    <row r="23">
      <c r="A23" s="49" t="str">
        <f>IFERROR(__xludf.DUMMYFUNCTION("""COMPUTED_VALUE"""),"Annie Siliker")</f>
        <v>Annie Siliker</v>
      </c>
    </row>
    <row r="24">
      <c r="A24" s="49" t="str">
        <f>IFERROR(__xludf.DUMMYFUNCTION("""COMPUTED_VALUE"""),"Anthony Paini")</f>
        <v>Anthony Paini</v>
      </c>
    </row>
    <row r="25">
      <c r="A25" s="49" t="str">
        <f>IFERROR(__xludf.DUMMYFUNCTION("""COMPUTED_VALUE"""),"Antonio Caldaroni")</f>
        <v>Antonio Caldaroni</v>
      </c>
    </row>
    <row r="26">
      <c r="A26" s="49" t="str">
        <f>IFERROR(__xludf.DUMMYFUNCTION("""COMPUTED_VALUE"""),"Ari Becker")</f>
        <v>Ari Becker</v>
      </c>
    </row>
    <row r="27">
      <c r="A27" s="49" t="str">
        <f>IFERROR(__xludf.DUMMYFUNCTION("""COMPUTED_VALUE"""),"Ari Hollingsworth")</f>
        <v>Ari Hollingsworth</v>
      </c>
    </row>
    <row r="28">
      <c r="A28" s="49" t="str">
        <f>IFERROR(__xludf.DUMMYFUNCTION("""COMPUTED_VALUE"""),"ash pennington")</f>
        <v>ash pennington</v>
      </c>
    </row>
    <row r="29">
      <c r="A29" s="49" t="str">
        <f>IFERROR(__xludf.DUMMYFUNCTION("""COMPUTED_VALUE"""),"Ashley Carvalheiro")</f>
        <v>Ashley Carvalheiro</v>
      </c>
    </row>
    <row r="30">
      <c r="A30" s="49" t="str">
        <f>IFERROR(__xludf.DUMMYFUNCTION("""COMPUTED_VALUE"""),"aubrey troy")</f>
        <v>aubrey troy</v>
      </c>
    </row>
    <row r="31">
      <c r="A31" s="49" t="str">
        <f>IFERROR(__xludf.DUMMYFUNCTION("""COMPUTED_VALUE"""),"audrey martignetti")</f>
        <v>audrey martignetti</v>
      </c>
    </row>
    <row r="32">
      <c r="A32" s="49" t="str">
        <f>IFERROR(__xludf.DUMMYFUNCTION("""COMPUTED_VALUE"""),"Austin Kunkel")</f>
        <v>Austin Kunkel</v>
      </c>
    </row>
    <row r="33">
      <c r="A33" s="49" t="str">
        <f>IFERROR(__xludf.DUMMYFUNCTION("""COMPUTED_VALUE"""),"ava bistrovich")</f>
        <v>ava bistrovich</v>
      </c>
    </row>
    <row r="34">
      <c r="A34" s="49" t="str">
        <f>IFERROR(__xludf.DUMMYFUNCTION("""COMPUTED_VALUE"""),"Ava Justo")</f>
        <v>Ava Justo</v>
      </c>
    </row>
    <row r="35">
      <c r="A35" s="49" t="str">
        <f>IFERROR(__xludf.DUMMYFUNCTION("""COMPUTED_VALUE"""),"Avery Pendergast")</f>
        <v>Avery Pendergast</v>
      </c>
    </row>
    <row r="36">
      <c r="A36" s="49" t="str">
        <f>IFERROR(__xludf.DUMMYFUNCTION("""COMPUTED_VALUE"""),"bailey allen")</f>
        <v>bailey allen</v>
      </c>
    </row>
    <row r="37">
      <c r="A37" s="49" t="str">
        <f>IFERROR(__xludf.DUMMYFUNCTION("""COMPUTED_VALUE"""),"Becca Vella (239)")</f>
        <v>Becca Vella (239)</v>
      </c>
    </row>
    <row r="38">
      <c r="A38" s="49" t="str">
        <f>IFERROR(__xludf.DUMMYFUNCTION("""COMPUTED_VALUE"""),"bella pioggia")</f>
        <v>bella pioggia</v>
      </c>
    </row>
    <row r="39">
      <c r="A39" s="49" t="str">
        <f>IFERROR(__xludf.DUMMYFUNCTION("""COMPUTED_VALUE"""),"Ben Walerstein")</f>
        <v>Ben Walerstein</v>
      </c>
    </row>
    <row r="40">
      <c r="A40" s="49" t="str">
        <f>IFERROR(__xludf.DUMMYFUNCTION("""COMPUTED_VALUE"""),"Bogdan (224)")</f>
        <v>Bogdan (224)</v>
      </c>
    </row>
    <row r="41">
      <c r="A41" s="49" t="str">
        <f>IFERROR(__xludf.DUMMYFUNCTION("""COMPUTED_VALUE"""),"Brian Puglielli")</f>
        <v>Brian Puglielli</v>
      </c>
    </row>
    <row r="42">
      <c r="A42" s="49" t="str">
        <f>IFERROR(__xludf.DUMMYFUNCTION("""COMPUTED_VALUE"""),"Caden Lynch")</f>
        <v>Caden Lynch</v>
      </c>
    </row>
    <row r="43">
      <c r="A43" s="49" t="str">
        <f>IFERROR(__xludf.DUMMYFUNCTION("""COMPUTED_VALUE"""),"Caitlin Ciancanelli")</f>
        <v>Caitlin Ciancanelli</v>
      </c>
    </row>
    <row r="44">
      <c r="A44" s="49" t="str">
        <f>IFERROR(__xludf.DUMMYFUNCTION("""COMPUTED_VALUE"""),"Caleb Brady")</f>
        <v>Caleb Brady</v>
      </c>
    </row>
    <row r="45">
      <c r="A45" s="49" t="str">
        <f>IFERROR(__xludf.DUMMYFUNCTION("""COMPUTED_VALUE"""),"Callum Murphy")</f>
        <v>Callum Murphy</v>
      </c>
    </row>
    <row r="46">
      <c r="A46" s="49" t="str">
        <f>IFERROR(__xludf.DUMMYFUNCTION("""COMPUTED_VALUE"""),"Cam (246)")</f>
        <v>Cam (246)</v>
      </c>
    </row>
    <row r="47">
      <c r="A47" s="49" t="str">
        <f>IFERROR(__xludf.DUMMYFUNCTION("""COMPUTED_VALUE"""),"Cameron Croom")</f>
        <v>Cameron Croom</v>
      </c>
    </row>
    <row r="48">
      <c r="A48" s="49" t="str">
        <f>IFERROR(__xludf.DUMMYFUNCTION("""COMPUTED_VALUE"""),"Camille Richardson")</f>
        <v>Camille Richardson</v>
      </c>
    </row>
    <row r="49">
      <c r="A49" s="49" t="str">
        <f>IFERROR(__xludf.DUMMYFUNCTION("""COMPUTED_VALUE"""),"Carly Regan")</f>
        <v>Carly Regan</v>
      </c>
    </row>
    <row r="50">
      <c r="A50" s="49" t="str">
        <f>IFERROR(__xludf.DUMMYFUNCTION("""COMPUTED_VALUE"""),"Caroline Clayton")</f>
        <v>Caroline Clayton</v>
      </c>
    </row>
    <row r="51">
      <c r="A51" s="49" t="str">
        <f>IFERROR(__xludf.DUMMYFUNCTION("""COMPUTED_VALUE"""),"Carter Dengler (258)")</f>
        <v>Carter Dengler (258)</v>
      </c>
    </row>
    <row r="52">
      <c r="A52" s="49" t="str">
        <f>IFERROR(__xludf.DUMMYFUNCTION("""COMPUTED_VALUE"""),"Casey Blunt (247)")</f>
        <v>Casey Blunt (247)</v>
      </c>
    </row>
    <row r="53">
      <c r="A53" s="49" t="str">
        <f>IFERROR(__xludf.DUMMYFUNCTION("""COMPUTED_VALUE"""),"Cat Cole-French")</f>
        <v>Cat Cole-French</v>
      </c>
    </row>
    <row r="54">
      <c r="A54" s="49" t="str">
        <f>IFERROR(__xludf.DUMMYFUNCTION("""COMPUTED_VALUE"""),"cat fillip")</f>
        <v>cat fillip</v>
      </c>
    </row>
    <row r="55">
      <c r="A55" s="49" t="str">
        <f>IFERROR(__xludf.DUMMYFUNCTION("""COMPUTED_VALUE"""),"CeCe Petti")</f>
        <v>CeCe Petti</v>
      </c>
    </row>
    <row r="56">
      <c r="A56" s="49" t="str">
        <f>IFERROR(__xludf.DUMMYFUNCTION("""COMPUTED_VALUE"""),"Celeste Cook")</f>
        <v>Celeste Cook</v>
      </c>
    </row>
    <row r="57">
      <c r="A57" s="49" t="str">
        <f>IFERROR(__xludf.DUMMYFUNCTION("""COMPUTED_VALUE"""),"Charlene Kiester (248)")</f>
        <v>Charlene Kiester (248)</v>
      </c>
    </row>
    <row r="58">
      <c r="A58" s="49" t="str">
        <f>IFERROR(__xludf.DUMMYFUNCTION("""COMPUTED_VALUE"""),"Chris Walsh (199)")</f>
        <v>Chris Walsh (199)</v>
      </c>
    </row>
    <row r="59">
      <c r="A59" s="49" t="str">
        <f>IFERROR(__xludf.DUMMYFUNCTION("""COMPUTED_VALUE"""),"Christian escalante")</f>
        <v>Christian escalante</v>
      </c>
    </row>
    <row r="60">
      <c r="A60" s="49" t="str">
        <f>IFERROR(__xludf.DUMMYFUNCTION("""COMPUTED_VALUE"""),"Cole Cirillo")</f>
        <v>Cole Cirillo</v>
      </c>
    </row>
    <row r="61">
      <c r="A61" s="49" t="str">
        <f>IFERROR(__xludf.DUMMYFUNCTION("""COMPUTED_VALUE"""),"Conrad McGarry (234)")</f>
        <v>Conrad McGarry (234)</v>
      </c>
    </row>
    <row r="62">
      <c r="A62" s="49" t="str">
        <f>IFERROR(__xludf.DUMMYFUNCTION("""COMPUTED_VALUE"""),"corynn frysinger")</f>
        <v>corynn frysinger</v>
      </c>
    </row>
    <row r="63">
      <c r="A63" s="49" t="str">
        <f>IFERROR(__xludf.DUMMYFUNCTION("""COMPUTED_VALUE"""),"courtney schaeffer")</f>
        <v>courtney schaeffer</v>
      </c>
    </row>
    <row r="64">
      <c r="A64" s="49" t="str">
        <f>IFERROR(__xludf.DUMMYFUNCTION("""COMPUTED_VALUE"""),"Crossan (233)")</f>
        <v>Crossan (233)</v>
      </c>
    </row>
    <row r="65">
      <c r="A65" s="49" t="str">
        <f>IFERROR(__xludf.DUMMYFUNCTION("""COMPUTED_VALUE"""),"Crowley (226)")</f>
        <v>Crowley (226)</v>
      </c>
    </row>
    <row r="66">
      <c r="A66" s="49" t="str">
        <f>IFERROR(__xludf.DUMMYFUNCTION("""COMPUTED_VALUE"""),"Dakota Baker")</f>
        <v>Dakota Baker</v>
      </c>
    </row>
    <row r="67">
      <c r="A67" s="49" t="str">
        <f>IFERROR(__xludf.DUMMYFUNCTION("""COMPUTED_VALUE"""),"Dan Birley")</f>
        <v>Dan Birley</v>
      </c>
    </row>
    <row r="68">
      <c r="A68" s="49" t="str">
        <f>IFERROR(__xludf.DUMMYFUNCTION("""COMPUTED_VALUE"""),"Danielle Sockol(268)")</f>
        <v>Danielle Sockol(268)</v>
      </c>
    </row>
    <row r="69">
      <c r="A69" s="49" t="str">
        <f>IFERROR(__xludf.DUMMYFUNCTION("""COMPUTED_VALUE"""),"David Lanuti")</f>
        <v>David Lanuti</v>
      </c>
    </row>
    <row r="70">
      <c r="A70" s="49" t="str">
        <f>IFERROR(__xludf.DUMMYFUNCTION("""COMPUTED_VALUE"""),"Davis AngelliNichols (258)")</f>
        <v>Davis AngelliNichols (258)</v>
      </c>
    </row>
    <row r="71">
      <c r="A71" s="49" t="str">
        <f>IFERROR(__xludf.DUMMYFUNCTION("""COMPUTED_VALUE"""),"Deacon Mansfield")</f>
        <v>Deacon Mansfield</v>
      </c>
    </row>
    <row r="72">
      <c r="A72" s="49" t="str">
        <f>IFERROR(__xludf.DUMMYFUNCTION("""COMPUTED_VALUE"""),"Dean Plennert")</f>
        <v>Dean Plennert</v>
      </c>
    </row>
    <row r="73">
      <c r="A73" s="49" t="str">
        <f>IFERROR(__xludf.DUMMYFUNCTION("""COMPUTED_VALUE"""),"deanna fragiorgi")</f>
        <v>deanna fragiorgi</v>
      </c>
    </row>
    <row r="74">
      <c r="A74" s="49" t="str">
        <f>IFERROR(__xludf.DUMMYFUNCTION("""COMPUTED_VALUE"""),"Delaney")</f>
        <v>Delaney</v>
      </c>
    </row>
    <row r="75">
      <c r="A75" s="49" t="str">
        <f>IFERROR(__xludf.DUMMYFUNCTION("""COMPUTED_VALUE"""),"Derek Shedleski (248)")</f>
        <v>Derek Shedleski (248)</v>
      </c>
    </row>
    <row r="76">
      <c r="A76" s="49" t="str">
        <f>IFERROR(__xludf.DUMMYFUNCTION("""COMPUTED_VALUE"""),"Dominic Mumma")</f>
        <v>Dominic Mumma</v>
      </c>
    </row>
    <row r="77">
      <c r="A77" s="49" t="str">
        <f>IFERROR(__xludf.DUMMYFUNCTION("""COMPUTED_VALUE"""),"Dominic Raifsnider")</f>
        <v>Dominic Raifsnider</v>
      </c>
    </row>
    <row r="78">
      <c r="A78" s="49" t="str">
        <f>IFERROR(__xludf.DUMMYFUNCTION("""COMPUTED_VALUE"""),"Dror Ohad (269)")</f>
        <v>Dror Ohad (269)</v>
      </c>
    </row>
    <row r="79">
      <c r="A79" s="49" t="str">
        <f>IFERROR(__xludf.DUMMYFUNCTION("""COMPUTED_VALUE"""),"Dylan Mattice(258)")</f>
        <v>Dylan Mattice(258)</v>
      </c>
    </row>
    <row r="80">
      <c r="A80" s="49" t="str">
        <f>IFERROR(__xludf.DUMMYFUNCTION("""COMPUTED_VALUE"""),"Eden Cotler")</f>
        <v>Eden Cotler</v>
      </c>
    </row>
    <row r="81">
      <c r="A81" s="49" t="str">
        <f>IFERROR(__xludf.DUMMYFUNCTION("""COMPUTED_VALUE"""),"Edisom (234)")</f>
        <v>Edisom (234)</v>
      </c>
    </row>
    <row r="82">
      <c r="A82" s="49" t="str">
        <f>IFERROR(__xludf.DUMMYFUNCTION("""COMPUTED_VALUE"""),"Elena Lesniak (248)")</f>
        <v>Elena Lesniak (248)</v>
      </c>
    </row>
    <row r="83">
      <c r="A83" s="49" t="str">
        <f>IFERROR(__xludf.DUMMYFUNCTION("""COMPUTED_VALUE"""),"Elias Humphery")</f>
        <v>Elias Humphery</v>
      </c>
    </row>
    <row r="84">
      <c r="A84" s="49" t="str">
        <f>IFERROR(__xludf.DUMMYFUNCTION("""COMPUTED_VALUE"""),"Emiliano VegaGomez")</f>
        <v>Emiliano VegaGomez</v>
      </c>
    </row>
    <row r="85">
      <c r="A85" s="49" t="str">
        <f>IFERROR(__xludf.DUMMYFUNCTION("""COMPUTED_VALUE"""),"Emily Brame")</f>
        <v>Emily Brame</v>
      </c>
    </row>
    <row r="86">
      <c r="A86" s="49" t="str">
        <f>IFERROR(__xludf.DUMMYFUNCTION("""COMPUTED_VALUE"""),"Emily Figueroa")</f>
        <v>Emily Figueroa</v>
      </c>
    </row>
    <row r="87">
      <c r="A87" s="49" t="str">
        <f>IFERROR(__xludf.DUMMYFUNCTION("""COMPUTED_VALUE"""),"Emma Hart")</f>
        <v>Emma Hart</v>
      </c>
    </row>
    <row r="88">
      <c r="A88" s="49" t="str">
        <f>IFERROR(__xludf.DUMMYFUNCTION("""COMPUTED_VALUE"""),"Emme Boyette")</f>
        <v>Emme Boyette</v>
      </c>
    </row>
    <row r="89">
      <c r="A89" s="49" t="str">
        <f>IFERROR(__xludf.DUMMYFUNCTION("""COMPUTED_VALUE"""),"Erik Callejas")</f>
        <v>Erik Callejas</v>
      </c>
    </row>
    <row r="90">
      <c r="A90" s="49" t="str">
        <f>IFERROR(__xludf.DUMMYFUNCTION("""COMPUTED_VALUE"""),"Ethan Carver")</f>
        <v>Ethan Carver</v>
      </c>
    </row>
    <row r="91">
      <c r="A91" s="49" t="str">
        <f>IFERROR(__xludf.DUMMYFUNCTION("""COMPUTED_VALUE"""),"Ethan Scalione")</f>
        <v>Ethan Scalione</v>
      </c>
    </row>
    <row r="92">
      <c r="A92" s="49" t="str">
        <f>IFERROR(__xludf.DUMMYFUNCTION("""COMPUTED_VALUE"""),"Ethan Sinclair (227)")</f>
        <v>Ethan Sinclair (227)</v>
      </c>
    </row>
    <row r="93">
      <c r="A93" s="49" t="str">
        <f>IFERROR(__xludf.DUMMYFUNCTION("""COMPUTED_VALUE"""),"Evan Calkins")</f>
        <v>Evan Calkins</v>
      </c>
    </row>
    <row r="94">
      <c r="A94" s="49" t="str">
        <f>IFERROR(__xludf.DUMMYFUNCTION("""COMPUTED_VALUE"""),"felicity roberts")</f>
        <v>felicity roberts</v>
      </c>
    </row>
    <row r="95">
      <c r="A95" s="49" t="str">
        <f>IFERROR(__xludf.DUMMYFUNCTION("""COMPUTED_VALUE"""),"Flannery (270)")</f>
        <v>Flannery (270)</v>
      </c>
    </row>
    <row r="96">
      <c r="A96" s="49" t="str">
        <f>IFERROR(__xludf.DUMMYFUNCTION("""COMPUTED_VALUE"""),"Francesca")</f>
        <v>Francesca</v>
      </c>
    </row>
    <row r="97">
      <c r="A97" s="49" t="str">
        <f>IFERROR(__xludf.DUMMYFUNCTION("""COMPUTED_VALUE"""),"gabbi ginaldi")</f>
        <v>gabbi ginaldi</v>
      </c>
    </row>
    <row r="98">
      <c r="A98" s="49" t="str">
        <f>IFERROR(__xludf.DUMMYFUNCTION("""COMPUTED_VALUE"""),"Gabby Mithcell (200)")</f>
        <v>Gabby Mithcell (200)</v>
      </c>
    </row>
    <row r="99">
      <c r="A99" s="49" t="str">
        <f>IFERROR(__xludf.DUMMYFUNCTION("""COMPUTED_VALUE"""),"Gabe Rosenblum")</f>
        <v>Gabe Rosenblum</v>
      </c>
    </row>
    <row r="100">
      <c r="A100" s="49" t="str">
        <f>IFERROR(__xludf.DUMMYFUNCTION("""COMPUTED_VALUE"""),"gabi benayoun")</f>
        <v>gabi benayoun</v>
      </c>
    </row>
    <row r="101">
      <c r="A101" s="49" t="str">
        <f>IFERROR(__xludf.DUMMYFUNCTION("""COMPUTED_VALUE"""),"Gary Prybylski")</f>
        <v>Gary Prybylski</v>
      </c>
    </row>
    <row r="102">
      <c r="A102" s="49" t="str">
        <f>IFERROR(__xludf.DUMMYFUNCTION("""COMPUTED_VALUE"""),"Gavan Smith (247)")</f>
        <v>Gavan Smith (247)</v>
      </c>
    </row>
    <row r="103">
      <c r="A103" s="49" t="str">
        <f>IFERROR(__xludf.DUMMYFUNCTION("""COMPUTED_VALUE"""),"Gavin Bob")</f>
        <v>Gavin Bob</v>
      </c>
    </row>
    <row r="104">
      <c r="A104" s="49" t="str">
        <f>IFERROR(__xludf.DUMMYFUNCTION("""COMPUTED_VALUE"""),"Gavin Komoda")</f>
        <v>Gavin Komoda</v>
      </c>
    </row>
    <row r="105">
      <c r="A105" s="49" t="str">
        <f>IFERROR(__xludf.DUMMYFUNCTION("""COMPUTED_VALUE"""),"Gharvin Ramnarase")</f>
        <v>Gharvin Ramnarase</v>
      </c>
    </row>
    <row r="106">
      <c r="A106" s="49" t="str">
        <f>IFERROR(__xludf.DUMMYFUNCTION("""COMPUTED_VALUE"""),"Gigi")</f>
        <v>Gigi</v>
      </c>
    </row>
    <row r="107">
      <c r="A107" s="49" t="str">
        <f>IFERROR(__xludf.DUMMYFUNCTION("""COMPUTED_VALUE"""),"grace davis")</f>
        <v>grace davis</v>
      </c>
    </row>
    <row r="108">
      <c r="A108" s="49" t="str">
        <f>IFERROR(__xludf.DUMMYFUNCTION("""COMPUTED_VALUE"""),"Graycie Gannon")</f>
        <v>Graycie Gannon</v>
      </c>
    </row>
    <row r="109">
      <c r="A109" s="49" t="str">
        <f>IFERROR(__xludf.DUMMYFUNCTION("""COMPUTED_VALUE"""),"Hannah DeFilipo")</f>
        <v>Hannah DeFilipo</v>
      </c>
    </row>
    <row r="110">
      <c r="A110" s="49" t="str">
        <f>IFERROR(__xludf.DUMMYFUNCTION("""COMPUTED_VALUE"""),"Hayden Baugh")</f>
        <v>Hayden Baugh</v>
      </c>
    </row>
    <row r="111">
      <c r="A111" s="49" t="str">
        <f>IFERROR(__xludf.DUMMYFUNCTION("""COMPUTED_VALUE"""),"Helen Chacha")</f>
        <v>Helen Chacha</v>
      </c>
    </row>
    <row r="112">
      <c r="A112" s="49" t="str">
        <f>IFERROR(__xludf.DUMMYFUNCTION("""COMPUTED_VALUE"""),"Henry Babowal")</f>
        <v>Henry Babowal</v>
      </c>
    </row>
    <row r="113">
      <c r="A113" s="49" t="str">
        <f>IFERROR(__xludf.DUMMYFUNCTION("""COMPUTED_VALUE"""),"Henry tun")</f>
        <v>Henry tun</v>
      </c>
    </row>
    <row r="114">
      <c r="A114" s="49" t="str">
        <f>IFERROR(__xludf.DUMMYFUNCTION("""COMPUTED_VALUE"""),"hope hebert")</f>
        <v>hope hebert</v>
      </c>
    </row>
    <row r="115">
      <c r="A115" s="49" t="str">
        <f>IFERROR(__xludf.DUMMYFUNCTION("""COMPUTED_VALUE"""),"Ian Scwab")</f>
        <v>Ian Scwab</v>
      </c>
    </row>
    <row r="116">
      <c r="A116" s="49" t="str">
        <f>IFERROR(__xludf.DUMMYFUNCTION("""COMPUTED_VALUE"""),"Ian Skinner")</f>
        <v>Ian Skinner</v>
      </c>
    </row>
    <row r="117">
      <c r="A117" s="49" t="str">
        <f>IFERROR(__xludf.DUMMYFUNCTION("""COMPUTED_VALUE"""),"Ianetta (195)")</f>
        <v>Ianetta (195)</v>
      </c>
    </row>
    <row r="118">
      <c r="A118" s="49" t="str">
        <f>IFERROR(__xludf.DUMMYFUNCTION("""COMPUTED_VALUE"""),"Jace Antonacci")</f>
        <v>Jace Antonacci</v>
      </c>
    </row>
    <row r="119">
      <c r="A119" s="49" t="str">
        <f>IFERROR(__xludf.DUMMYFUNCTION("""COMPUTED_VALUE"""),"Jack Adams (232)")</f>
        <v>Jack Adams (232)</v>
      </c>
    </row>
    <row r="120">
      <c r="A120" s="49" t="str">
        <f>IFERROR(__xludf.DUMMYFUNCTION("""COMPUTED_VALUE"""),"Jack Roberts")</f>
        <v>Jack Roberts</v>
      </c>
    </row>
    <row r="121">
      <c r="A121" s="49" t="str">
        <f>IFERROR(__xludf.DUMMYFUNCTION("""COMPUTED_VALUE"""),"Jack Sherlock (247)")</f>
        <v>Jack Sherlock (247)</v>
      </c>
    </row>
    <row r="122">
      <c r="A122" s="49" t="str">
        <f>IFERROR(__xludf.DUMMYFUNCTION("""COMPUTED_VALUE"""),"Jackson Holmes")</f>
        <v>Jackson Holmes</v>
      </c>
    </row>
    <row r="123">
      <c r="A123" s="49" t="str">
        <f>IFERROR(__xludf.DUMMYFUNCTION("""COMPUTED_VALUE"""),"Jackson money")</f>
        <v>Jackson money</v>
      </c>
    </row>
    <row r="124">
      <c r="A124" s="49" t="str">
        <f>IFERROR(__xludf.DUMMYFUNCTION("""COMPUTED_VALUE"""),"Jacob P (228)")</f>
        <v>Jacob P (228)</v>
      </c>
    </row>
    <row r="125">
      <c r="A125" s="49" t="str">
        <f>IFERROR(__xludf.DUMMYFUNCTION("""COMPUTED_VALUE"""),"James Masler")</f>
        <v>James Masler</v>
      </c>
    </row>
    <row r="126">
      <c r="A126" s="49" t="str">
        <f>IFERROR(__xludf.DUMMYFUNCTION("""COMPUTED_VALUE"""),"Jameson baker")</f>
        <v>Jameson baker</v>
      </c>
    </row>
    <row r="127">
      <c r="A127" s="49" t="str">
        <f>IFERROR(__xludf.DUMMYFUNCTION("""COMPUTED_VALUE"""),"Jamison Sass")</f>
        <v>Jamison Sass</v>
      </c>
    </row>
    <row r="128">
      <c r="A128" s="49" t="str">
        <f>IFERROR(__xludf.DUMMYFUNCTION("""COMPUTED_VALUE"""),"Janderson (205)")</f>
        <v>Janderson (205)</v>
      </c>
    </row>
    <row r="129">
      <c r="A129" s="49" t="str">
        <f>IFERROR(__xludf.DUMMYFUNCTION("""COMPUTED_VALUE"""),"Jasmin Aujla")</f>
        <v>Jasmin Aujla</v>
      </c>
    </row>
    <row r="130">
      <c r="A130" s="49" t="str">
        <f>IFERROR(__xludf.DUMMYFUNCTION("""COMPUTED_VALUE"""),"Jason Bradbury")</f>
        <v>Jason Bradbury</v>
      </c>
    </row>
    <row r="131">
      <c r="A131" s="49" t="str">
        <f>IFERROR(__xludf.DUMMYFUNCTION("""COMPUTED_VALUE"""),"Jayden black")</f>
        <v>Jayden black</v>
      </c>
    </row>
    <row r="132">
      <c r="A132" s="49" t="str">
        <f>IFERROR(__xludf.DUMMYFUNCTION("""COMPUTED_VALUE"""),"Jeff Bajdo")</f>
        <v>Jeff Bajdo</v>
      </c>
    </row>
    <row r="133">
      <c r="A133" s="49" t="str">
        <f>IFERROR(__xludf.DUMMYFUNCTION("""COMPUTED_VALUE"""),"jess jaimon")</f>
        <v>jess jaimon</v>
      </c>
    </row>
    <row r="134">
      <c r="A134" s="49" t="str">
        <f>IFERROR(__xludf.DUMMYFUNCTION("""COMPUTED_VALUE"""),"Jettalin Buffum")</f>
        <v>Jettalin Buffum</v>
      </c>
    </row>
    <row r="135">
      <c r="A135" s="49" t="str">
        <f>IFERROR(__xludf.DUMMYFUNCTION("""COMPUTED_VALUE"""),"Jizzy cook (228)")</f>
        <v>Jizzy cook (228)</v>
      </c>
    </row>
    <row r="136">
      <c r="A136" s="49" t="str">
        <f>IFERROR(__xludf.DUMMYFUNCTION("""COMPUTED_VALUE"""),"Jon Bates (247)")</f>
        <v>Jon Bates (247)</v>
      </c>
    </row>
    <row r="137">
      <c r="A137" s="49" t="str">
        <f>IFERROR(__xludf.DUMMYFUNCTION("""COMPUTED_VALUE"""),"Jordan Cooksey (238)")</f>
        <v>Jordan Cooksey (238)</v>
      </c>
    </row>
    <row r="138">
      <c r="A138" s="49" t="str">
        <f>IFERROR(__xludf.DUMMYFUNCTION("""COMPUTED_VALUE"""),"Josalyn Massett")</f>
        <v>Josalyn Massett</v>
      </c>
    </row>
    <row r="139">
      <c r="A139" s="49" t="str">
        <f>IFERROR(__xludf.DUMMYFUNCTION("""COMPUTED_VALUE"""),"Jose Ignacio (248)")</f>
        <v>Jose Ignacio (248)</v>
      </c>
    </row>
    <row r="140">
      <c r="A140" s="49" t="str">
        <f>IFERROR(__xludf.DUMMYFUNCTION("""COMPUTED_VALUE"""),"Josh Merrill")</f>
        <v>Josh Merrill</v>
      </c>
    </row>
    <row r="141">
      <c r="A141" s="49" t="str">
        <f>IFERROR(__xludf.DUMMYFUNCTION("""COMPUTED_VALUE"""),"Josh Theta")</f>
        <v>Josh Theta</v>
      </c>
    </row>
    <row r="142">
      <c r="A142" s="49" t="str">
        <f>IFERROR(__xludf.DUMMYFUNCTION("""COMPUTED_VALUE"""),"Joshua Abdallah")</f>
        <v>Joshua Abdallah</v>
      </c>
    </row>
    <row r="143">
      <c r="A143" s="49" t="str">
        <f>IFERROR(__xludf.DUMMYFUNCTION("""COMPUTED_VALUE"""),"Jules Buonfiglio")</f>
        <v>Jules Buonfiglio</v>
      </c>
    </row>
    <row r="144">
      <c r="A144" s="49" t="str">
        <f>IFERROR(__xludf.DUMMYFUNCTION("""COMPUTED_VALUE"""),"julia bognaski")</f>
        <v>julia bognaski</v>
      </c>
    </row>
    <row r="145">
      <c r="A145" s="49" t="str">
        <f>IFERROR(__xludf.DUMMYFUNCTION("""COMPUTED_VALUE"""),"julia hogencamp")</f>
        <v>julia hogencamp</v>
      </c>
    </row>
    <row r="146">
      <c r="A146" s="49" t="str">
        <f>IFERROR(__xludf.DUMMYFUNCTION("""COMPUTED_VALUE"""),"julia sullivan")</f>
        <v>julia sullivan</v>
      </c>
    </row>
    <row r="147">
      <c r="A147" s="49" t="str">
        <f>IFERROR(__xludf.DUMMYFUNCTION("""COMPUTED_VALUE"""),"Juliana Foster")</f>
        <v>Juliana Foster</v>
      </c>
    </row>
    <row r="148">
      <c r="A148" s="49" t="str">
        <f>IFERROR(__xludf.DUMMYFUNCTION("""COMPUTED_VALUE"""),"Kaden Boyle")</f>
        <v>Kaden Boyle</v>
      </c>
    </row>
    <row r="149">
      <c r="A149" s="49" t="str">
        <f>IFERROR(__xludf.DUMMYFUNCTION("""COMPUTED_VALUE"""),"Karras (242)")</f>
        <v>Karras (242)</v>
      </c>
    </row>
    <row r="150">
      <c r="A150" s="49" t="str">
        <f>IFERROR(__xludf.DUMMYFUNCTION("""COMPUTED_VALUE"""),"kate delucca")</f>
        <v>kate delucca</v>
      </c>
    </row>
    <row r="151">
      <c r="A151" s="49" t="str">
        <f>IFERROR(__xludf.DUMMYFUNCTION("""COMPUTED_VALUE"""),"kate young")</f>
        <v>kate young</v>
      </c>
    </row>
    <row r="152">
      <c r="A152" s="49" t="str">
        <f>IFERROR(__xludf.DUMMYFUNCTION("""COMPUTED_VALUE"""),"Katie Boardman")</f>
        <v>Katie Boardman</v>
      </c>
    </row>
    <row r="153">
      <c r="A153" s="49" t="str">
        <f>IFERROR(__xludf.DUMMYFUNCTION("""COMPUTED_VALUE"""),"Kayla Cardoza")</f>
        <v>Kayla Cardoza</v>
      </c>
    </row>
    <row r="154">
      <c r="A154" s="49" t="str">
        <f>IFERROR(__xludf.DUMMYFUNCTION("""COMPUTED_VALUE"""),"keira waggoner")</f>
        <v>keira waggoner</v>
      </c>
    </row>
    <row r="155">
      <c r="A155" s="49" t="str">
        <f>IFERROR(__xludf.DUMMYFUNCTION("""COMPUTED_VALUE"""),"Kelly Da Silva (238)")</f>
        <v>Kelly Da Silva (238)</v>
      </c>
    </row>
    <row r="156">
      <c r="A156" s="49" t="str">
        <f>IFERROR(__xludf.DUMMYFUNCTION("""COMPUTED_VALUE"""),"Kelsey Luke")</f>
        <v>Kelsey Luke</v>
      </c>
    </row>
    <row r="157">
      <c r="A157" s="49" t="str">
        <f>IFERROR(__xludf.DUMMYFUNCTION("""COMPUTED_VALUE"""),"Kendra Jozokos")</f>
        <v>Kendra Jozokos</v>
      </c>
    </row>
    <row r="158">
      <c r="A158" s="49" t="str">
        <f>IFERROR(__xludf.DUMMYFUNCTION("""COMPUTED_VALUE"""),"Kyle Long")</f>
        <v>Kyle Long</v>
      </c>
    </row>
    <row r="159">
      <c r="A159" s="49" t="str">
        <f>IFERROR(__xludf.DUMMYFUNCTION("""COMPUTED_VALUE"""),"Kylee Kublin")</f>
        <v>Kylee Kublin</v>
      </c>
    </row>
    <row r="160">
      <c r="A160" s="49" t="str">
        <f>IFERROR(__xludf.DUMMYFUNCTION("""COMPUTED_VALUE"""),"Kyndale Simmons")</f>
        <v>Kyndale Simmons</v>
      </c>
    </row>
    <row r="161">
      <c r="A161" s="49" t="str">
        <f>IFERROR(__xludf.DUMMYFUNCTION("""COMPUTED_VALUE"""),"lauren nichols")</f>
        <v>lauren nichols</v>
      </c>
    </row>
    <row r="162">
      <c r="A162" s="49" t="str">
        <f>IFERROR(__xludf.DUMMYFUNCTION("""COMPUTED_VALUE"""),"Layo Olawuyi")</f>
        <v>Layo Olawuyi</v>
      </c>
    </row>
    <row r="163">
      <c r="A163" s="49" t="str">
        <f>IFERROR(__xludf.DUMMYFUNCTION("""COMPUTED_VALUE"""),"Leo (259)")</f>
        <v>Leo (259)</v>
      </c>
    </row>
    <row r="164">
      <c r="A164" s="49" t="str">
        <f>IFERROR(__xludf.DUMMYFUNCTION("""COMPUTED_VALUE"""),"Leo danziger")</f>
        <v>Leo danziger</v>
      </c>
    </row>
    <row r="165">
      <c r="A165" s="49" t="str">
        <f>IFERROR(__xludf.DUMMYFUNCTION("""COMPUTED_VALUE"""),"lia schmitt")</f>
        <v>lia schmitt</v>
      </c>
    </row>
    <row r="166">
      <c r="A166" s="49" t="str">
        <f>IFERROR(__xludf.DUMMYFUNCTION("""COMPUTED_VALUE"""),"Liam Schaefer")</f>
        <v>Liam Schaefer</v>
      </c>
    </row>
    <row r="167">
      <c r="A167" s="49" t="str">
        <f>IFERROR(__xludf.DUMMYFUNCTION("""COMPUTED_VALUE"""),"Lianna Pottgen")</f>
        <v>Lianna Pottgen</v>
      </c>
    </row>
    <row r="168">
      <c r="A168" s="49" t="str">
        <f>IFERROR(__xludf.DUMMYFUNCTION("""COMPUTED_VALUE"""),"lily goodman")</f>
        <v>lily goodman</v>
      </c>
    </row>
    <row r="169">
      <c r="A169" s="49" t="str">
        <f>IFERROR(__xludf.DUMMYFUNCTION("""COMPUTED_VALUE"""),"Lincoln brander")</f>
        <v>Lincoln brander</v>
      </c>
    </row>
    <row r="170">
      <c r="A170" s="49" t="str">
        <f>IFERROR(__xludf.DUMMYFUNCTION("""COMPUTED_VALUE"""),"Luca Ferrara")</f>
        <v>Luca Ferrara</v>
      </c>
    </row>
    <row r="171">
      <c r="A171" s="49" t="str">
        <f>IFERROR(__xludf.DUMMYFUNCTION("""COMPUTED_VALUE"""),"Lucas Ray")</f>
        <v>Lucas Ray</v>
      </c>
    </row>
    <row r="172">
      <c r="A172" s="49" t="str">
        <f>IFERROR(__xludf.DUMMYFUNCTION("""COMPUTED_VALUE"""),"Luciano")</f>
        <v>Luciano</v>
      </c>
    </row>
    <row r="173">
      <c r="A173" s="49" t="str">
        <f>IFERROR(__xludf.DUMMYFUNCTION("""COMPUTED_VALUE"""),"Luke Moskov")</f>
        <v>Luke Moskov</v>
      </c>
    </row>
    <row r="174">
      <c r="A174" s="49" t="str">
        <f>IFERROR(__xludf.DUMMYFUNCTION("""COMPUTED_VALUE"""),"Mackenna Conish")</f>
        <v>Mackenna Conish</v>
      </c>
    </row>
    <row r="175">
      <c r="A175" s="49" t="str">
        <f>IFERROR(__xludf.DUMMYFUNCTION("""COMPUTED_VALUE"""),"maddie messa")</f>
        <v>maddie messa</v>
      </c>
    </row>
    <row r="176">
      <c r="A176" s="49" t="str">
        <f>IFERROR(__xludf.DUMMYFUNCTION("""COMPUTED_VALUE"""),"maddy broomfield")</f>
        <v>maddy broomfield</v>
      </c>
    </row>
    <row r="177">
      <c r="A177" s="49" t="str">
        <f>IFERROR(__xludf.DUMMYFUNCTION("""COMPUTED_VALUE"""),"maia thomas")</f>
        <v>maia thomas</v>
      </c>
    </row>
    <row r="178">
      <c r="A178" s="49" t="str">
        <f>IFERROR(__xludf.DUMMYFUNCTION("""COMPUTED_VALUE"""),"mak kirish")</f>
        <v>mak kirish</v>
      </c>
    </row>
    <row r="179">
      <c r="A179" s="49" t="str">
        <f>IFERROR(__xludf.DUMMYFUNCTION("""COMPUTED_VALUE"""),"Mallett (251)")</f>
        <v>Mallett (251)</v>
      </c>
    </row>
    <row r="180">
      <c r="A180" s="49" t="str">
        <f>IFERROR(__xludf.DUMMYFUNCTION("""COMPUTED_VALUE"""),"Marc Elkhoury (268)")</f>
        <v>Marc Elkhoury (268)</v>
      </c>
    </row>
    <row r="181">
      <c r="A181" s="49" t="str">
        <f>IFERROR(__xludf.DUMMYFUNCTION("""COMPUTED_VALUE"""),"Mariah Emhof")</f>
        <v>Mariah Emhof</v>
      </c>
    </row>
    <row r="182">
      <c r="A182" s="49" t="str">
        <f>IFERROR(__xludf.DUMMYFUNCTION("""COMPUTED_VALUE"""),"Marissa Abramson")</f>
        <v>Marissa Abramson</v>
      </c>
    </row>
    <row r="183">
      <c r="A183" s="49" t="str">
        <f>IFERROR(__xludf.DUMMYFUNCTION("""COMPUTED_VALUE"""),"martina alvez")</f>
        <v>martina alvez</v>
      </c>
    </row>
    <row r="184">
      <c r="A184" s="49" t="str">
        <f>IFERROR(__xludf.DUMMYFUNCTION("""COMPUTED_VALUE"""),"Martinez (272)")</f>
        <v>Martinez (272)</v>
      </c>
    </row>
    <row r="185">
      <c r="A185" s="49" t="str">
        <f>IFERROR(__xludf.DUMMYFUNCTION("""COMPUTED_VALUE"""),"Mason Welch (199)")</f>
        <v>Mason Welch (199)</v>
      </c>
    </row>
    <row r="186">
      <c r="A186" s="49" t="str">
        <f>IFERROR(__xludf.DUMMYFUNCTION("""COMPUTED_VALUE"""),"Matiss Clouser")</f>
        <v>Matiss Clouser</v>
      </c>
    </row>
    <row r="187">
      <c r="A187" s="49" t="str">
        <f>IFERROR(__xludf.DUMMYFUNCTION("""COMPUTED_VALUE"""),"Matt Carneiro")</f>
        <v>Matt Carneiro</v>
      </c>
    </row>
    <row r="188">
      <c r="A188" s="49" t="str">
        <f>IFERROR(__xludf.DUMMYFUNCTION("""COMPUTED_VALUE"""),"Matthew Tarasenko")</f>
        <v>Matthew Tarasenko</v>
      </c>
    </row>
    <row r="189">
      <c r="A189" s="49" t="str">
        <f>IFERROR(__xludf.DUMMYFUNCTION("""COMPUTED_VALUE"""),"Megi Karin (238)")</f>
        <v>Megi Karin (238)</v>
      </c>
    </row>
    <row r="190">
      <c r="A190" s="49" t="str">
        <f>IFERROR(__xludf.DUMMYFUNCTION("""COMPUTED_VALUE"""),"menda schroeder")</f>
        <v>menda schroeder</v>
      </c>
    </row>
    <row r="191">
      <c r="A191" s="49" t="str">
        <f>IFERROR(__xludf.DUMMYFUNCTION("""COMPUTED_VALUE"""),"mia srivastava")</f>
        <v>mia srivastava</v>
      </c>
    </row>
    <row r="192">
      <c r="A192" s="49" t="str">
        <f>IFERROR(__xludf.DUMMYFUNCTION("""COMPUTED_VALUE"""),"Michael Thompson")</f>
        <v>Michael Thompson</v>
      </c>
    </row>
    <row r="193">
      <c r="A193" s="49" t="str">
        <f>IFERROR(__xludf.DUMMYFUNCTION("""COMPUTED_VALUE"""),"Mikey Reizenstein")</f>
        <v>Mikey Reizenstein</v>
      </c>
    </row>
    <row r="194">
      <c r="A194" s="49" t="str">
        <f>IFERROR(__xludf.DUMMYFUNCTION("""COMPUTED_VALUE"""),"Miles Wong (259)")</f>
        <v>Miles Wong (259)</v>
      </c>
    </row>
    <row r="195">
      <c r="A195" s="49" t="str">
        <f>IFERROR(__xludf.DUMMYFUNCTION("""COMPUTED_VALUE"""),"miranda walter")</f>
        <v>miranda walter</v>
      </c>
    </row>
    <row r="196">
      <c r="A196" s="49" t="str">
        <f>IFERROR(__xludf.DUMMYFUNCTION("""COMPUTED_VALUE"""),"Mitchell konstandt")</f>
        <v>Mitchell konstandt</v>
      </c>
    </row>
    <row r="197">
      <c r="A197" s="49" t="str">
        <f>IFERROR(__xludf.DUMMYFUNCTION("""COMPUTED_VALUE"""),"molly long")</f>
        <v>molly long</v>
      </c>
    </row>
    <row r="198">
      <c r="A198" s="49" t="str">
        <f>IFERROR(__xludf.DUMMYFUNCTION("""COMPUTED_VALUE"""),"Nagwa Fokunang")</f>
        <v>Nagwa Fokunang</v>
      </c>
    </row>
    <row r="199">
      <c r="A199" s="49" t="str">
        <f>IFERROR(__xludf.DUMMYFUNCTION("""COMPUTED_VALUE"""),"Nardi (236)")</f>
        <v>Nardi (236)</v>
      </c>
    </row>
    <row r="200">
      <c r="A200" s="49" t="str">
        <f>IFERROR(__xludf.DUMMYFUNCTION("""COMPUTED_VALUE"""),"Nathaniel Bartsch")</f>
        <v>Nathaniel Bartsch</v>
      </c>
    </row>
    <row r="201">
      <c r="A201" s="49" t="str">
        <f>IFERROR(__xludf.DUMMYFUNCTION("""COMPUTED_VALUE"""),"Nick Farsaci (247)")</f>
        <v>Nick Farsaci (247)</v>
      </c>
    </row>
    <row r="202">
      <c r="A202" s="49" t="str">
        <f>IFERROR(__xludf.DUMMYFUNCTION("""COMPUTED_VALUE"""),"Nick Paul")</f>
        <v>Nick Paul</v>
      </c>
    </row>
    <row r="203">
      <c r="A203" s="49" t="str">
        <f>IFERROR(__xludf.DUMMYFUNCTION("""COMPUTED_VALUE"""),"Niki Arcila")</f>
        <v>Niki Arcila</v>
      </c>
    </row>
    <row r="204">
      <c r="A204" s="49" t="str">
        <f>IFERROR(__xludf.DUMMYFUNCTION("""COMPUTED_VALUE"""),"Nina Porter")</f>
        <v>Nina Porter</v>
      </c>
    </row>
    <row r="205">
      <c r="A205" s="49" t="str">
        <f>IFERROR(__xludf.DUMMYFUNCTION("""COMPUTED_VALUE"""),"Noah Baumgaertel")</f>
        <v>Noah Baumgaertel</v>
      </c>
    </row>
    <row r="206">
      <c r="A206" s="49" t="str">
        <f>IFERROR(__xludf.DUMMYFUNCTION("""COMPUTED_VALUE"""),"Noble (230)")</f>
        <v>Noble (230)</v>
      </c>
    </row>
    <row r="207">
      <c r="A207" s="49" t="str">
        <f>IFERROR(__xludf.DUMMYFUNCTION("""COMPUTED_VALUE"""),"noelle mp")</f>
        <v>noelle mp</v>
      </c>
    </row>
    <row r="208">
      <c r="A208" s="49" t="str">
        <f>IFERROR(__xludf.DUMMYFUNCTION("""COMPUTED_VALUE"""),"noelle thomas")</f>
        <v>noelle thomas</v>
      </c>
    </row>
    <row r="209">
      <c r="A209" s="49" t="str">
        <f>IFERROR(__xludf.DUMMYFUNCTION("""COMPUTED_VALUE"""),"Olivia Rizzo")</f>
        <v>Olivia Rizzo</v>
      </c>
    </row>
    <row r="210">
      <c r="A210" s="49" t="str">
        <f>IFERROR(__xludf.DUMMYFUNCTION("""COMPUTED_VALUE"""),"Ozias Verminski")</f>
        <v>Ozias Verminski</v>
      </c>
    </row>
    <row r="211">
      <c r="A211" s="49" t="str">
        <f>IFERROR(__xludf.DUMMYFUNCTION("""COMPUTED_VALUE"""),"paige bohman")</f>
        <v>paige bohman</v>
      </c>
    </row>
    <row r="212">
      <c r="A212" s="49" t="str">
        <f>IFERROR(__xludf.DUMMYFUNCTION("""COMPUTED_VALUE"""),"Patrice Delgado")</f>
        <v>Patrice Delgado</v>
      </c>
    </row>
    <row r="213">
      <c r="A213" s="49" t="str">
        <f>IFERROR(__xludf.DUMMYFUNCTION("""COMPUTED_VALUE"""),"Patrick clear")</f>
        <v>Patrick clear</v>
      </c>
    </row>
    <row r="214">
      <c r="A214" s="49" t="str">
        <f>IFERROR(__xludf.DUMMYFUNCTION("""COMPUTED_VALUE"""),"Patrick Guildner")</f>
        <v>Patrick Guildner</v>
      </c>
    </row>
    <row r="215">
      <c r="A215" s="49" t="str">
        <f>IFERROR(__xludf.DUMMYFUNCTION("""COMPUTED_VALUE"""),"Peter Daglis")</f>
        <v>Peter Daglis</v>
      </c>
    </row>
    <row r="216">
      <c r="A216" s="49" t="str">
        <f>IFERROR(__xludf.DUMMYFUNCTION("""COMPUTED_VALUE"""),"Pratyush Karthikeyan")</f>
        <v>Pratyush Karthikeyan</v>
      </c>
    </row>
    <row r="217">
      <c r="A217" s="49" t="str">
        <f>IFERROR(__xludf.DUMMYFUNCTION("""COMPUTED_VALUE"""),"Rachel Helffenstein")</f>
        <v>Rachel Helffenstein</v>
      </c>
    </row>
    <row r="218">
      <c r="A218" s="49" t="str">
        <f>IFERROR(__xludf.DUMMYFUNCTION("""COMPUTED_VALUE"""),"Raika Kamalaraj")</f>
        <v>Raika Kamalaraj</v>
      </c>
    </row>
    <row r="219">
      <c r="A219" s="49" t="str">
        <f>IFERROR(__xludf.DUMMYFUNCTION("""COMPUTED_VALUE"""),"Reina Lachhman")</f>
        <v>Reina Lachhman</v>
      </c>
    </row>
    <row r="220">
      <c r="A220" s="49" t="str">
        <f>IFERROR(__xludf.DUMMYFUNCTION("""COMPUTED_VALUE"""),"Rex Gleason")</f>
        <v>Rex Gleason</v>
      </c>
    </row>
    <row r="221">
      <c r="A221" s="49" t="str">
        <f>IFERROR(__xludf.DUMMYFUNCTION("""COMPUTED_VALUE"""),"Ricky Flores")</f>
        <v>Ricky Flores</v>
      </c>
    </row>
    <row r="222">
      <c r="A222" s="49" t="str">
        <f>IFERROR(__xludf.DUMMYFUNCTION("""COMPUTED_VALUE"""),"Riley Jo (239)")</f>
        <v>Riley Jo (239)</v>
      </c>
    </row>
    <row r="223">
      <c r="A223" s="49" t="str">
        <f>IFERROR(__xludf.DUMMYFUNCTION("""COMPUTED_VALUE"""),"Ritchie Williams")</f>
        <v>Ritchie Williams</v>
      </c>
    </row>
    <row r="224">
      <c r="A224" s="49" t="str">
        <f>IFERROR(__xludf.DUMMYFUNCTION("""COMPUTED_VALUE"""),"Robert Wingert")</f>
        <v>Robert Wingert</v>
      </c>
    </row>
    <row r="225">
      <c r="A225" s="49" t="str">
        <f>IFERROR(__xludf.DUMMYFUNCTION("""COMPUTED_VALUE"""),"Ryan Andersen")</f>
        <v>Ryan Andersen</v>
      </c>
    </row>
    <row r="226">
      <c r="A226" s="49" t="str">
        <f>IFERROR(__xludf.DUMMYFUNCTION("""COMPUTED_VALUE"""),"Ryan Noyes (247)")</f>
        <v>Ryan Noyes (247)</v>
      </c>
    </row>
    <row r="227">
      <c r="A227" s="49" t="str">
        <f>IFERROR(__xludf.DUMMYFUNCTION("""COMPUTED_VALUE"""),"Ryan Thompson")</f>
        <v>Ryan Thompson</v>
      </c>
    </row>
    <row r="228">
      <c r="A228" s="49" t="str">
        <f>IFERROR(__xludf.DUMMYFUNCTION("""COMPUTED_VALUE"""),"Ryder (238)")</f>
        <v>Ryder (238)</v>
      </c>
    </row>
    <row r="229">
      <c r="A229" s="49" t="str">
        <f>IFERROR(__xludf.DUMMYFUNCTION("""COMPUTED_VALUE"""),"rylee maher")</f>
        <v>rylee maher</v>
      </c>
    </row>
    <row r="230">
      <c r="A230" s="49" t="str">
        <f>IFERROR(__xludf.DUMMYFUNCTION("""COMPUTED_VALUE"""),"ryley ko")</f>
        <v>ryley ko</v>
      </c>
    </row>
    <row r="231">
      <c r="A231" s="49" t="str">
        <f>IFERROR(__xludf.DUMMYFUNCTION("""COMPUTED_VALUE"""),"Ryley Robinson")</f>
        <v>Ryley Robinson</v>
      </c>
    </row>
    <row r="232">
      <c r="A232" s="49" t="str">
        <f>IFERROR(__xludf.DUMMYFUNCTION("""COMPUTED_VALUE"""),"ryn pease")</f>
        <v>ryn pease</v>
      </c>
    </row>
    <row r="233">
      <c r="A233" s="49" t="str">
        <f>IFERROR(__xludf.DUMMYFUNCTION("""COMPUTED_VALUE"""),"Saddam Hussan (205)")</f>
        <v>Saddam Hussan (205)</v>
      </c>
    </row>
    <row r="234">
      <c r="A234" s="49" t="str">
        <f>IFERROR(__xludf.DUMMYFUNCTION("""COMPUTED_VALUE"""),"Sam Tambacas")</f>
        <v>Sam Tambacas</v>
      </c>
    </row>
    <row r="235">
      <c r="A235" s="49" t="str">
        <f>IFERROR(__xludf.DUMMYFUNCTION("""COMPUTED_VALUE"""),"Samuel Aronoff")</f>
        <v>Samuel Aronoff</v>
      </c>
    </row>
    <row r="236">
      <c r="A236" s="49" t="str">
        <f>IFERROR(__xludf.DUMMYFUNCTION("""COMPUTED_VALUE"""),"sarah cathie")</f>
        <v>sarah cathie</v>
      </c>
    </row>
    <row r="237">
      <c r="A237" s="49" t="str">
        <f>IFERROR(__xludf.DUMMYFUNCTION("""COMPUTED_VALUE"""),"Sarah Shevrin (251)")</f>
        <v>Sarah Shevrin (251)</v>
      </c>
    </row>
    <row r="238">
      <c r="A238" s="49" t="str">
        <f>IFERROR(__xludf.DUMMYFUNCTION("""COMPUTED_VALUE"""),"Savannah Brown")</f>
        <v>Savannah Brown</v>
      </c>
    </row>
    <row r="239">
      <c r="A239" s="49" t="str">
        <f>IFERROR(__xludf.DUMMYFUNCTION("""COMPUTED_VALUE"""),"Sebastian Canakis")</f>
        <v>Sebastian Canakis</v>
      </c>
    </row>
    <row r="240">
      <c r="A240" s="49" t="str">
        <f>IFERROR(__xludf.DUMMYFUNCTION("""COMPUTED_VALUE"""),"Shannon Allman")</f>
        <v>Shannon Allman</v>
      </c>
    </row>
    <row r="241">
      <c r="A241" s="49" t="str">
        <f>IFERROR(__xludf.DUMMYFUNCTION("""COMPUTED_VALUE"""),"Sheehan (239)")</f>
        <v>Sheehan (239)</v>
      </c>
    </row>
    <row r="242">
      <c r="A242" s="49" t="str">
        <f>IFERROR(__xludf.DUMMYFUNCTION("""COMPUTED_VALUE"""),"Shuron (200)")</f>
        <v>Shuron (200)</v>
      </c>
    </row>
    <row r="243">
      <c r="A243" s="49" t="str">
        <f>IFERROR(__xludf.DUMMYFUNCTION("""COMPUTED_VALUE"""),"Skyler Dengler (199)")</f>
        <v>Skyler Dengler (199)</v>
      </c>
    </row>
    <row r="244">
      <c r="A244" s="49" t="str">
        <f>IFERROR(__xludf.DUMMYFUNCTION("""COMPUTED_VALUE"""),"Snell (236)")</f>
        <v>Snell (236)</v>
      </c>
    </row>
    <row r="245">
      <c r="A245" s="49" t="str">
        <f>IFERROR(__xludf.DUMMYFUNCTION("""COMPUTED_VALUE"""),"Sofia Bruce")</f>
        <v>Sofia Bruce</v>
      </c>
    </row>
    <row r="246">
      <c r="A246" s="49" t="str">
        <f>IFERROR(__xludf.DUMMYFUNCTION("""COMPUTED_VALUE"""),"Sofia DePasquale")</f>
        <v>Sofia DePasquale</v>
      </c>
    </row>
    <row r="247">
      <c r="A247" s="49" t="str">
        <f>IFERROR(__xludf.DUMMYFUNCTION("""COMPUTED_VALUE"""),"sofia mariniello")</f>
        <v>sofia mariniello</v>
      </c>
    </row>
    <row r="248">
      <c r="A248" s="49" t="str">
        <f>IFERROR(__xludf.DUMMYFUNCTION("""COMPUTED_VALUE"""),"Solia Griffin")</f>
        <v>Solia Griffin</v>
      </c>
    </row>
    <row r="249">
      <c r="A249" s="49" t="str">
        <f>IFERROR(__xludf.DUMMYFUNCTION("""COMPUTED_VALUE"""),"Sonia Cachon")</f>
        <v>Sonia Cachon</v>
      </c>
    </row>
    <row r="250">
      <c r="A250" s="49" t="str">
        <f>IFERROR(__xludf.DUMMYFUNCTION("""COMPUTED_VALUE"""),"sophia pries")</f>
        <v>sophia pries</v>
      </c>
    </row>
    <row r="251">
      <c r="A251" s="49" t="str">
        <f>IFERROR(__xludf.DUMMYFUNCTION("""COMPUTED_VALUE"""),"Soren Orcutt")</f>
        <v>Soren Orcutt</v>
      </c>
    </row>
    <row r="252">
      <c r="A252" s="49" t="str">
        <f>IFERROR(__xludf.DUMMYFUNCTION("""COMPUTED_VALUE"""),"Stella Bauschard")</f>
        <v>Stella Bauschard</v>
      </c>
    </row>
    <row r="253">
      <c r="A253" s="49" t="str">
        <f>IFERROR(__xludf.DUMMYFUNCTION("""COMPUTED_VALUE"""),"Steve Medeiros")</f>
        <v>Steve Medeiros</v>
      </c>
    </row>
    <row r="254">
      <c r="A254" s="49" t="str">
        <f>IFERROR(__xludf.DUMMYFUNCTION("""COMPUTED_VALUE"""),"Sydney Wildermuth (263)")</f>
        <v>Sydney Wildermuth (263)</v>
      </c>
    </row>
    <row r="255">
      <c r="A255" s="49" t="str">
        <f>IFERROR(__xludf.DUMMYFUNCTION("""COMPUTED_VALUE"""),"Tanner Christina")</f>
        <v>Tanner Christina</v>
      </c>
    </row>
    <row r="256">
      <c r="A256" s="49" t="str">
        <f>IFERROR(__xludf.DUMMYFUNCTION("""COMPUTED_VALUE"""),"Tanvi Singh")</f>
        <v>Tanvi Singh</v>
      </c>
    </row>
    <row r="257">
      <c r="A257" s="49" t="str">
        <f>IFERROR(__xludf.DUMMYFUNCTION("""COMPUTED_VALUE"""),"Tara Guastalli")</f>
        <v>Tara Guastalli</v>
      </c>
    </row>
    <row r="258">
      <c r="A258" s="49" t="str">
        <f>IFERROR(__xludf.DUMMYFUNCTION("""COMPUTED_VALUE"""),"Taylor Matla (195)")</f>
        <v>Taylor Matla (195)</v>
      </c>
    </row>
    <row r="259">
      <c r="A259" s="49" t="str">
        <f>IFERROR(__xludf.DUMMYFUNCTION("""COMPUTED_VALUE"""),"Tesh Jaswal")</f>
        <v>Tesh Jaswal</v>
      </c>
    </row>
    <row r="260">
      <c r="A260" s="49" t="str">
        <f>IFERROR(__xludf.DUMMYFUNCTION("""COMPUTED_VALUE"""),"Tira Heiss")</f>
        <v>Tira Heiss</v>
      </c>
    </row>
    <row r="261">
      <c r="A261" s="49" t="str">
        <f>IFERROR(__xludf.DUMMYFUNCTION("""COMPUTED_VALUE"""),"TJ Kindler")</f>
        <v>TJ Kindler</v>
      </c>
    </row>
    <row r="262">
      <c r="A262" s="49" t="str">
        <f>IFERROR(__xludf.DUMMYFUNCTION("""COMPUTED_VALUE"""),"Toby Muther (269)")</f>
        <v>Toby Muther (269)</v>
      </c>
    </row>
    <row r="263">
      <c r="A263" s="49" t="str">
        <f>IFERROR(__xludf.DUMMYFUNCTION("""COMPUTED_VALUE"""),"Tyler Friel")</f>
        <v>Tyler Friel</v>
      </c>
    </row>
    <row r="264">
      <c r="A264" s="49" t="str">
        <f>IFERROR(__xludf.DUMMYFUNCTION("""COMPUTED_VALUE"""),"victoria sc")</f>
        <v>victoria sc</v>
      </c>
    </row>
    <row r="265">
      <c r="A265" s="49" t="str">
        <f>IFERROR(__xludf.DUMMYFUNCTION("""COMPUTED_VALUE"""),"violette martin")</f>
        <v>violette martin</v>
      </c>
    </row>
    <row r="266">
      <c r="A266" s="49" t="str">
        <f>IFERROR(__xludf.DUMMYFUNCTION("""COMPUTED_VALUE"""),"Vlad Usatii")</f>
        <v>Vlad Usatii</v>
      </c>
    </row>
    <row r="267">
      <c r="A267" s="49" t="str">
        <f>IFERROR(__xludf.DUMMYFUNCTION("""COMPUTED_VALUE"""),"Wil Kravetz(269)")</f>
        <v>Wil Kravetz(269)</v>
      </c>
    </row>
    <row r="268">
      <c r="A268" s="49" t="str">
        <f>IFERROR(__xludf.DUMMYFUNCTION("""COMPUTED_VALUE"""),"Will Harriman (245)")</f>
        <v>Will Harriman (245)</v>
      </c>
    </row>
    <row r="269">
      <c r="A269" s="49" t="str">
        <f>IFERROR(__xludf.DUMMYFUNCTION("""COMPUTED_VALUE"""),"Will Kiracofe")</f>
        <v>Will Kiracofe</v>
      </c>
    </row>
    <row r="270">
      <c r="A270" s="49" t="str">
        <f>IFERROR(__xludf.DUMMYFUNCTION("""COMPUTED_VALUE"""),"Xavier Q Wellington IV (192)")</f>
        <v>Xavier Q Wellington IV (192)</v>
      </c>
    </row>
    <row r="271">
      <c r="A271" s="49" t="str">
        <f>IFERROR(__xludf.DUMMYFUNCTION("""COMPUTED_VALUE"""),"Yarin Tellez")</f>
        <v>Yarin Tellez</v>
      </c>
    </row>
    <row r="272">
      <c r="A272" s="49" t="str">
        <f>IFERROR(__xludf.DUMMYFUNCTION("""COMPUTED_VALUE"""),"Yates (263)")</f>
        <v>Yates (263)</v>
      </c>
    </row>
    <row r="273">
      <c r="A273" s="49" t="str">
        <f>IFERROR(__xludf.DUMMYFUNCTION("""COMPUTED_VALUE"""),"Z (227)")</f>
        <v>Z (227)</v>
      </c>
    </row>
    <row r="274">
      <c r="A274" s="49" t="str">
        <f>IFERROR(__xludf.DUMMYFUNCTION("""COMPUTED_VALUE"""),"Zach Staerk")</f>
        <v>Zach Staerk</v>
      </c>
    </row>
    <row r="275">
      <c r="A275" s="5" t="s">
        <v>363</v>
      </c>
    </row>
  </sheetData>
  <drawing r:id="rId1"/>
</worksheet>
</file>